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70\Service Facturiers\raprochement sfa log QTE et PRIX\"/>
    </mc:Choice>
  </mc:AlternateContent>
  <xr:revisionPtr revIDLastSave="0" documentId="13_ncr:1_{A3C9D932-AF3F-42F9-9B7D-B0CA6414BD5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les prix manquants+arts exclus" sheetId="9" r:id="rId1"/>
    <sheet name="log qte et prix" sheetId="15" r:id="rId2"/>
    <sheet name="Rapprochement" sheetId="12" r:id="rId3"/>
    <sheet name="Feuil1" sheetId="16" r:id="rId4"/>
    <sheet name="historique des mouvmenet" sheetId="14" state="hidden" r:id="rId5"/>
  </sheets>
  <definedNames>
    <definedName name="_xlnm._FilterDatabase" localSheetId="2" hidden="1">Rapprochement!#REF!</definedName>
    <definedName name="DonnéesExternes_1" localSheetId="0" hidden="1">'les prix manquants+arts exclus'!$A$2:$A$19</definedName>
    <definedName name="DonnéesExternes_1" localSheetId="2" hidden="1">Rapprochement!$A$7:$E$50</definedName>
    <definedName name="DonnéesExternes_2" localSheetId="2" hidden="1">Rapprochement!$G$7:$J$20</definedName>
    <definedName name="DonnéesExternes_3" localSheetId="2" hidden="1">Rapprochement!$E$5:$E$6</definedName>
    <definedName name="DonnéesExternes_4" localSheetId="1" hidden="1">'log qte et prix'!$A$1:$C$2478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16" l="1"/>
  <c r="O11" i="16"/>
  <c r="O12" i="16"/>
  <c r="O13" i="16"/>
  <c r="O14" i="16"/>
  <c r="O9" i="16"/>
  <c r="O15" i="16" s="1"/>
  <c r="I3" i="16"/>
  <c r="I2" i="16"/>
  <c r="F2080" i="9"/>
  <c r="J5" i="14" a="1"/>
  <c r="J5" i="14" s="1"/>
  <c r="J4" i="14" a="1"/>
  <c r="J4" i="14" s="1"/>
  <c r="J3" i="14" a="1"/>
  <c r="J3" i="14" s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0DDEC0-60A6-4070-AB84-2E28B7E2F840}" keepAlive="1" name="Requête - 00stock" description="Connexion à la requête « 00stock » dans le classeur." type="5" refreshedVersion="0" background="1" saveData="1">
    <dbPr connection="Provider=Microsoft.Mashup.OleDb.1;Data Source=$Workbook$;Location=00stock;Extended Properties=&quot;&quot;" command="SELECT * FROM [00stock]"/>
  </connection>
  <connection id="2" xr16:uid="{7FD492E4-298A-4E54-870B-6A11A99AA026}" keepAlive="1" name="Requête - 00stock1" description="Connexion à la requête « 00stock » dans le classeur." type="5" refreshedVersion="0" background="1" saveData="1">
    <dbPr connection="Provider=Microsoft.Mashup.OleDb.1;Data Source=$Workbook$;Location=00stock;Extended Properties=&quot;&quot;" command="SELECT * FROM [00stock]"/>
  </connection>
  <connection id="3" xr16:uid="{CA417FE1-7CBB-4671-866F-884472975E7C}" keepAlive="1" name="Requête - Ajouter21" description="Connexion à la requête « Ajouter2 » dans le classeur." type="5" refreshedVersion="0" background="1">
    <dbPr connection="Provider=Microsoft.Mashup.OleDb.1;Data Source=$Workbook$;Location=Ajouter2;Extended Properties=&quot;&quot;" command="SELECT * FROM [Ajouter2]"/>
  </connection>
  <connection id="4" xr16:uid="{A49D8DDC-0C5C-4387-8E32-8AEE1AA5411F}" keepAlive="1" name="Requête - art a exclus" description="Connexion à la requête « art a exclus » dans le classeur." type="5" refreshedVersion="0" background="1">
    <dbPr connection="Provider=Microsoft.Mashup.OleDb.1;Data Source=$Workbook$;Location=&quot;art a exclus&quot;;Extended Properties=&quot;&quot;" command="SELECT * FROM [art a exclus]"/>
  </connection>
  <connection id="5" xr16:uid="{0CBA721A-5751-4177-AA24-43E56CBA727B}" keepAlive="1" name="Requête - chemins" description="Connexion à la requête « chemins » dans le classeur." type="5" refreshedVersion="0" background="1">
    <dbPr connection="Provider=Microsoft.Mashup.OleDb.1;Data Source=$Workbook$;Location=chemins;Extended Properties=&quot;&quot;" command="SELECT * FROM [chemins]"/>
  </connection>
  <connection id="6" xr16:uid="{86B6CECD-72F8-451F-9748-58CF54A1E376}" keepAlive="1" name="Requête - dernier MSJ" description="Connexion à la requête « dernier MSJ » dans le classeur." type="5" refreshedVersion="8" background="1" saveData="1">
    <dbPr connection="Provider=Microsoft.Mashup.OleDb.1;Data Source=$Workbook$;Location=&quot;dernier MSJ&quot;;Extended Properties=&quot;&quot;" command="SELECT * FROM [dernier MSJ]"/>
  </connection>
  <connection id="7" xr16:uid="{0267AA5A-0D85-465B-82BC-786C8B257F53}" keepAlive="1" name="Requête - ecart prix" description="Connexion à la requête « ecart prix » dans le classeur." type="5" refreshedVersion="8" background="1" saveData="1">
    <dbPr connection="Provider=Microsoft.Mashup.OleDb.1;Data Source=$Workbook$;Location=&quot;ecart prix&quot;;Extended Properties=&quot;&quot;" command="SELECT * FROM [ecart prix]"/>
  </connection>
  <connection id="8" xr16:uid="{D072ADAE-06A6-4731-B130-16CB7DCD1CA5}" keepAlive="1" name="Requête - ecart qte" description="Connexion à la requête « ecart qte » dans le classeur." type="5" refreshedVersion="8" background="1" saveData="1">
    <dbPr connection="Provider=Microsoft.Mashup.OleDb.1;Data Source=$Workbook$;Location=&quot;ecart qte&quot;;Extended Properties=&quot;&quot;" command="SELECT * FROM [ecart qte]"/>
  </connection>
  <connection id="9" xr16:uid="{6F6044C5-37FA-4BCD-ACBF-666F842FC30D}" keepAlive="1" name="Requête - emp" description="Connexion à la requête « emp » dans le classeur." type="5" refreshedVersion="0" background="1">
    <dbPr connection="Provider=Microsoft.Mashup.OleDb.1;Data Source=$Workbook$;Location=emp;Extended Properties=&quot;&quot;" command="SELECT * FROM [emp]"/>
  </connection>
  <connection id="10" xr16:uid="{06B4DD78-1B4B-4E2C-8260-0CAF0CB171E9}" keepAlive="1" name="Requête - hist des observations" description="Connexion à la requête « hist des observations » dans le classeur." type="5" refreshedVersion="0" background="1">
    <dbPr connection="Provider=Microsoft.Mashup.OleDb.1;Data Source=$Workbook$;Location=&quot;hist des observations&quot;;Extended Properties=&quot;&quot;" command="SELECT * FROM [hist des observations]"/>
  </connection>
  <connection id="11" xr16:uid="{C98471B3-7540-4E47-BF89-83EF592F4693}" keepAlive="1" name="Requête - LIST ART SFA" description="Connexion à la requête « LIST ART SFA » dans le classeur." type="5" refreshedVersion="0" background="1">
    <dbPr connection="Provider=Microsoft.Mashup.OleDb.1;Data Source=$Workbook$;Location=&quot;LIST ART SFA&quot;;Extended Properties=&quot;&quot;" command="SELECT * FROM [LIST ART SFA]"/>
  </connection>
  <connection id="12" xr16:uid="{7C0568C3-40C5-497C-A021-C183D02231F9}" keepAlive="1" name="Requête - list d'art a jumler" description="Connexion à la requête « list d'art a jumler » dans le classeur." type="5" refreshedVersion="0" background="1">
    <dbPr connection="Provider=Microsoft.Mashup.OleDb.1;Data Source=$Workbook$;Location=&quot;list d'art a jumler&quot;;Extended Properties=&quot;&quot;" command="SELECT * FROM [list d'art a jumler]"/>
  </connection>
  <connection id="13" xr16:uid="{D9FF9BD5-26E0-45E5-AF91-CDB5C8871C18}" keepAlive="1" name="Requête - listdeprix" description="Connexion à la requête « listdeprix » dans le classeur." type="5" refreshedVersion="0" background="1">
    <dbPr connection="Provider=Microsoft.Mashup.OleDb.1;Data Source=$Workbook$;Location=listdeprix;Extended Properties=&quot;&quot;" command="SELECT * FROM [listdeprix]"/>
  </connection>
  <connection id="14" xr16:uid="{7FFF5057-0826-4C9C-8333-EF65430E7FD3}" keepAlive="1" name="Requête - log qte et prix" description="Connexion à la requête « log qte et prix » dans le classeur." type="5" refreshedVersion="8" background="1" saveData="1">
    <dbPr connection="Provider=Microsoft.Mashup.OleDb.1;Data Source=$Workbook$;Location=&quot;log qte et prix&quot;;Extended Properties=&quot;&quot;" command="SELECT * FROM [log qte et prix]"/>
  </connection>
  <connection id="15" xr16:uid="{80AF0AAC-B31F-4013-AE82-8DDEA65FA87D}" keepAlive="1" name="Requête - prix a ajouter" description="Connexion à la requête « prix a ajouter » dans le classeur." type="5" refreshedVersion="0" background="1">
    <dbPr connection="Provider=Microsoft.Mashup.OleDb.1;Data Source=$Workbook$;Location=&quot;prix a ajouter&quot;;Extended Properties=&quot;&quot;" command="SELECT * FROM [prix a ajouter]"/>
  </connection>
  <connection id="16" xr16:uid="{11692E39-3B02-48C2-A235-43ABCFD41EC6}" keepAlive="1" name="Requête - prix manquats" description="Connexion à la requête « prix manquats » dans le classeur." type="5" refreshedVersion="8" background="1" saveData="1">
    <dbPr connection="Provider=Microsoft.Mashup.OleDb.1;Data Source=$Workbook$;Location=&quot;prix manquats&quot;;Extended Properties=&quot;&quot;" command="SELECT * FROM [prix manquats]"/>
  </connection>
  <connection id="17" xr16:uid="{CED86157-B9E4-4511-A7A9-1FC3C01FAC6C}" keepAlive="1" name="Requête - PRIXSFA" description="Connexion à la requête « PRIXSFA » dans le classeur." type="5" refreshedVersion="0" background="1">
    <dbPr connection="Provider=Microsoft.Mashup.OleDb.1;Data Source=$Workbook$;Location=PRIXSFA;Extended Properties=&quot;&quot;" command="SELECT * FROM [PRIXSFA]"/>
  </connection>
  <connection id="18" xr16:uid="{FFAC7934-6E04-46C8-9BA4-8BB74D06041D}" keepAlive="1" name="Requête - STOCKSFA" description="Connexion à la requête « STOCKSFA » dans le classeur." type="5" refreshedVersion="0" background="1">
    <dbPr connection="Provider=Microsoft.Mashup.OleDb.1;Data Source=$Workbook$;Location=STOCKSFA;Extended Properties=&quot;&quot;" command="SELECT * FROM [STOCKSF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<sst xmlns="http://schemas.openxmlformats.org/spreadsheetml/2006/main" count="4786" uniqueCount="4589">
  <si>
    <t>ARTICLE</t>
  </si>
  <si>
    <t>ISHRAK-T200X275</t>
  </si>
  <si>
    <t>SPACE-T200X280</t>
  </si>
  <si>
    <t>AL MANASSIK-MSQ133X0</t>
  </si>
  <si>
    <t>YALDA-T200X275</t>
  </si>
  <si>
    <t>STORY-T180X270</t>
  </si>
  <si>
    <t>AMIRA-T40X60</t>
  </si>
  <si>
    <t>ECLIPSE-T200X275</t>
  </si>
  <si>
    <t>STORY-SO80X215</t>
  </si>
  <si>
    <t>STORY-T160X210</t>
  </si>
  <si>
    <t>PLAZA-E155X284</t>
  </si>
  <si>
    <t>FLOREA-MQT400X0</t>
  </si>
  <si>
    <t>MANISA-T240X400</t>
  </si>
  <si>
    <t>LYNA-T40X60-RE000</t>
  </si>
  <si>
    <t>AMIRA-T40X60-RE000</t>
  </si>
  <si>
    <t>GALATA-T200X280</t>
  </si>
  <si>
    <t>ORIA-S60X370</t>
  </si>
  <si>
    <t>ORIA-T180X270</t>
  </si>
  <si>
    <t>MAESTRO-T200X275</t>
  </si>
  <si>
    <t>ORIA-T60X110</t>
  </si>
  <si>
    <t>LYNA-T40X60</t>
  </si>
  <si>
    <t>Prix Sfa</t>
  </si>
  <si>
    <t>FEUTRE 1.83X0</t>
  </si>
  <si>
    <t>BOXE PRESENTOIR POUR PETITS ROULEAUX GAZON REF AK 603</t>
  </si>
  <si>
    <t>PRESENTOIR POUR COULOIR TISSE-TUFTE LAMINATION REF KY3</t>
  </si>
  <si>
    <t>PRESENTOIR MOQUETTE 80X80 CM REF W5</t>
  </si>
  <si>
    <t>PRESENTOIR MOQUETTE TISSE-TUFTE REF RLS13</t>
  </si>
  <si>
    <t>ESTRADE OVALE POUR TAPIS-LAMINATION REF OYS 2001</t>
  </si>
  <si>
    <t>ESTRADE RECTANGLE POUR TAPIS TISSE-LAMINATION REF YS 409</t>
  </si>
  <si>
    <t>FIL FIN LOT PP-BCF</t>
  </si>
  <si>
    <t>FILM HEAT-SELABLE , PLASTIQUE EMBAL M 100X100</t>
  </si>
  <si>
    <t>BANDE ADHESIVE</t>
  </si>
  <si>
    <t>STRETCH FILM M 100X100</t>
  </si>
  <si>
    <t>FEUTRE EP 8MM GRIS</t>
  </si>
  <si>
    <t>FEUTRE EP 10MM GRIS</t>
  </si>
  <si>
    <t>SCRATCH</t>
  </si>
  <si>
    <t>COUTEAUX MARTOR</t>
  </si>
  <si>
    <t>ROULETTES A MAROUFLER</t>
  </si>
  <si>
    <t>COUPS DE GENOU</t>
  </si>
  <si>
    <t>PLAQUE CHAUFFANTES</t>
  </si>
  <si>
    <t>MACHINE A COUDRE</t>
  </si>
  <si>
    <t>FIL DE PECHE M100X100</t>
  </si>
  <si>
    <t>SPUNDOND STRIP 60 GSM 22 MM</t>
  </si>
  <si>
    <t>COLLE PROTEX 04 KG</t>
  </si>
  <si>
    <t>COLLE PROTTEX 15 KG</t>
  </si>
  <si>
    <t>SPUNBOND STRIP 60 GSM 22 MM</t>
  </si>
  <si>
    <t>ARTICLE A EXCLURE DU FILTRE</t>
  </si>
  <si>
    <t>VEUILLEZ A JOUTER LES PRIX DE CES ARTICLES</t>
  </si>
  <si>
    <t>LISTE DES ARTICLES A EXCLURE DU FILTRE</t>
  </si>
  <si>
    <t>Art</t>
  </si>
  <si>
    <t>Qte Sfa</t>
  </si>
  <si>
    <t>Qte Log</t>
  </si>
  <si>
    <t>Ecart Qte</t>
  </si>
  <si>
    <t>Prix Log</t>
  </si>
  <si>
    <t>Ecart Prix</t>
  </si>
  <si>
    <t>ECART QTE</t>
  </si>
  <si>
    <t>ECART PRIX</t>
  </si>
  <si>
    <t>OBSERVATION</t>
  </si>
  <si>
    <t>ytdjydtj</t>
  </si>
  <si>
    <t>chemins</t>
  </si>
  <si>
    <t>dernier MSJ</t>
  </si>
  <si>
    <t>ALAA-MSQ133X0</t>
  </si>
  <si>
    <t>LIENS</t>
  </si>
  <si>
    <t>LIEN DE STOCK PAR EMPLACEMENT</t>
  </si>
  <si>
    <t>LIEN DE LISTE DES PRIX</t>
  </si>
  <si>
    <t>RELAX-S210X220</t>
  </si>
  <si>
    <t>RELAX-T40X60</t>
  </si>
  <si>
    <t>CIRTA-S60X370</t>
  </si>
  <si>
    <t>WISSAL-T66X110</t>
  </si>
  <si>
    <t>RYMA-S57X200</t>
  </si>
  <si>
    <t>AL RAYANE-T66X110</t>
  </si>
  <si>
    <t>BRAGA-T200X280</t>
  </si>
  <si>
    <t>TRESOR-S53X320</t>
  </si>
  <si>
    <t>BRAGA-S100X235</t>
  </si>
  <si>
    <t>SCANDINAVE-SF60X200</t>
  </si>
  <si>
    <t>BRAGA-E155X284</t>
  </si>
  <si>
    <t>STORY-T40X60</t>
  </si>
  <si>
    <t>IXORA-T40X60</t>
  </si>
  <si>
    <t>NUSSUK-T133X67-RE000</t>
  </si>
  <si>
    <t>ZEN-RGZ100X0</t>
  </si>
  <si>
    <t>LYNA-MQT200X0</t>
  </si>
  <si>
    <t>ZINNIA-MQT200X0</t>
  </si>
  <si>
    <t>BAHDJA-T140X200</t>
  </si>
  <si>
    <t>ZINNIA-T40X60</t>
  </si>
  <si>
    <t>ALICANTE-MQT400X0</t>
  </si>
  <si>
    <t>ECLAT-S100X235</t>
  </si>
  <si>
    <t>MOSAIQUE-T200X280</t>
  </si>
  <si>
    <t>ORIA-T150X220</t>
  </si>
  <si>
    <t>GALATA-T160X220</t>
  </si>
  <si>
    <t>AZARA-MQT200X0</t>
  </si>
  <si>
    <t>EMOJI-SO100X235</t>
  </si>
  <si>
    <t>RELAX-MQT210X0</t>
  </si>
  <si>
    <t>AL SABR-MSQ133X0</t>
  </si>
  <si>
    <t>Selectionnez les emplacement</t>
  </si>
  <si>
    <t>00-Stock [AFAK DECO]</t>
  </si>
  <si>
    <t>CORETE-RGZ40X0</t>
  </si>
  <si>
    <t>CORETE-O150X200</t>
  </si>
  <si>
    <t>CHAHINE-T200X280</t>
  </si>
  <si>
    <t>CORETE-T40X60</t>
  </si>
  <si>
    <t>CORETE-RGZ100X0</t>
  </si>
  <si>
    <t>FLOREA-MQT200X0</t>
  </si>
  <si>
    <t>QTE LOG</t>
  </si>
  <si>
    <t>PRIX LOG</t>
  </si>
  <si>
    <t>FETH-MSQ100X100</t>
  </si>
  <si>
    <t>AMBRE-T250X350</t>
  </si>
  <si>
    <t>AMIR-DO60X200</t>
  </si>
  <si>
    <t>AMIR-DO80X140</t>
  </si>
  <si>
    <t>AMIR-S45X180</t>
  </si>
  <si>
    <t>AMIR-SO45X230</t>
  </si>
  <si>
    <t>AMIR-SO60X340</t>
  </si>
  <si>
    <t>AMIR-SO(DO 80X140 + DO 60X200)</t>
  </si>
  <si>
    <t>ASSAFA-MSQ100X100</t>
  </si>
  <si>
    <t>BOSS-T160X230</t>
  </si>
  <si>
    <t>CELESTE DL 60*220  [1103]</t>
  </si>
  <si>
    <t>CELESTE DO 60*220</t>
  </si>
  <si>
    <t>CELESTE S 200*220  [0217]</t>
  </si>
  <si>
    <t>CELESTE T 140*220</t>
  </si>
  <si>
    <t>CELESTE T 200*280</t>
  </si>
  <si>
    <t>COUVERTURE ADFA   CV  200*240</t>
  </si>
  <si>
    <t>COUVERTURE  BB T 100*150</t>
  </si>
  <si>
    <t>CRISTAL DL 70*240</t>
  </si>
  <si>
    <t>CRISTAL SHAGGY  S 80*320</t>
  </si>
  <si>
    <t>CRISTAL SO 80*320</t>
  </si>
  <si>
    <t>CRISTAL-T180X270</t>
  </si>
  <si>
    <t>CRISTAL T 250*350</t>
  </si>
  <si>
    <t>CVRT ADFA ROYAL CV 200*240</t>
  </si>
  <si>
    <t>DAHER T 210*300</t>
  </si>
  <si>
    <t>DARMENE BB 133*180</t>
  </si>
  <si>
    <t>DIAMOND DL 60*220</t>
  </si>
  <si>
    <t>DIAMOND DL 70*240</t>
  </si>
  <si>
    <t>DIAMOND DO 60*220</t>
  </si>
  <si>
    <t>DIAMOND DO 70*240</t>
  </si>
  <si>
    <t>DIAMOND S 200*220</t>
  </si>
  <si>
    <t>DIAMOND T 140*220</t>
  </si>
  <si>
    <t>DIAMOND T 160*220</t>
  </si>
  <si>
    <t>DIAMOND T 180*270</t>
  </si>
  <si>
    <t>DIAMOND T 200*280</t>
  </si>
  <si>
    <t>PACIFIC DL 65*100</t>
  </si>
  <si>
    <t>PACIFIC DO 60*200</t>
  </si>
  <si>
    <t>PACIFIC S 200X200</t>
  </si>
  <si>
    <t>PACIFIC SO 80*280</t>
  </si>
  <si>
    <t>PACIFIC SO 80*300</t>
  </si>
  <si>
    <t>PACIFIC T 135*200</t>
  </si>
  <si>
    <t>PACIFIC T 200*280</t>
  </si>
  <si>
    <t>ELHOUDA MSQ 100*100</t>
  </si>
  <si>
    <t>BARAKA  MSQ 100*100</t>
  </si>
  <si>
    <t>ENS S/BAIN IMPR S 50*160</t>
  </si>
  <si>
    <t>ENS S/BAIN IMPR S 60*150</t>
  </si>
  <si>
    <t>EXOTIC T 250*350</t>
  </si>
  <si>
    <t>FANTASY M 100*100</t>
  </si>
  <si>
    <t>FANTASY T 200*290</t>
  </si>
  <si>
    <t>FERDAOUS MSQ 100*100</t>
  </si>
  <si>
    <t>FUSION DL 60*110</t>
  </si>
  <si>
    <t>FUSION T 210*280</t>
  </si>
  <si>
    <t>GALAXY T 210X290</t>
  </si>
  <si>
    <t>GLAMOUR  T 145*230</t>
  </si>
  <si>
    <t>GOBELIN T200*290</t>
  </si>
  <si>
    <t>GOLD DL 60*220</t>
  </si>
  <si>
    <t>GOLD S 210*220</t>
  </si>
  <si>
    <t>GOLD T 150*220</t>
  </si>
  <si>
    <t>GOLD T 210*290</t>
  </si>
  <si>
    <t>GRANADA DL 60*220</t>
  </si>
  <si>
    <t>GRANADA P 45*62</t>
  </si>
  <si>
    <t>GRANADA RLX 100*100</t>
  </si>
  <si>
    <t>GRANADA SO 45*230</t>
  </si>
  <si>
    <t>GRANADA SO    62 * 340</t>
  </si>
  <si>
    <t>GRANADA T 210*300</t>
  </si>
  <si>
    <t>GRANADA T 300*400</t>
  </si>
  <si>
    <t>HANBEL DL 60*110</t>
  </si>
  <si>
    <t>HANBEL S 140*200</t>
  </si>
  <si>
    <t>HANBEL S 220*230</t>
  </si>
  <si>
    <t>HANBEL S 60*320</t>
  </si>
  <si>
    <t>HANBEL T 120*150</t>
  </si>
  <si>
    <t>HANBEL T 160*230</t>
  </si>
  <si>
    <t>HANBEL T 200*275</t>
  </si>
  <si>
    <t>HANBEL T 80*120</t>
  </si>
  <si>
    <t>HARMONY O 200*290</t>
  </si>
  <si>
    <t>HARMONY R 200*200</t>
  </si>
  <si>
    <t>HARMONY T 200*290</t>
  </si>
  <si>
    <t>INFINITY T 200*290</t>
  </si>
  <si>
    <t>JUNIAR  BB 100*150</t>
  </si>
  <si>
    <t>BADR  MSQ 100*100</t>
  </si>
  <si>
    <t>MAGIC  T 150*230</t>
  </si>
  <si>
    <t>MIMOSA S 220*230</t>
  </si>
  <si>
    <t>MIMOSA SO 80*340</t>
  </si>
  <si>
    <t>MIMOSA T 200*290</t>
  </si>
  <si>
    <t>ROSA DL 60*220  [0639]</t>
  </si>
  <si>
    <t>ROSA P 40*60</t>
  </si>
  <si>
    <t>ROSA S 220*220  [0642]</t>
  </si>
  <si>
    <t>ROSA SO 80*280  [0644]</t>
  </si>
  <si>
    <t>ROSA T 160*220  [1439]</t>
  </si>
  <si>
    <t>ROSA T 190*280</t>
  </si>
  <si>
    <t>ROSA T 200*280  [0646]</t>
  </si>
  <si>
    <t>MORDJANE P 45*65</t>
  </si>
  <si>
    <t>MQTT SAOUDIA MSQ  100 * 100</t>
  </si>
  <si>
    <t>FINESSE BB 150X120</t>
  </si>
  <si>
    <t>FINESSE C 90X300</t>
  </si>
  <si>
    <t>FINESSE C 90*400</t>
  </si>
  <si>
    <t>FINESSE C 90*500</t>
  </si>
  <si>
    <t>FINESSE  DL 50*180</t>
  </si>
  <si>
    <t>FINESSE  DL 60*110</t>
  </si>
  <si>
    <t>FINESSE DL 80X120</t>
  </si>
  <si>
    <t>FINESSE T 40*60</t>
  </si>
  <si>
    <t>FINESSE R 160*160</t>
  </si>
  <si>
    <t>FINESSE  S 200*220</t>
  </si>
  <si>
    <t>FINESSE S  250*240</t>
  </si>
  <si>
    <t>FINESSE T 140*220</t>
  </si>
  <si>
    <t>FINESSE T 160*230</t>
  </si>
  <si>
    <t>FINESSE T 170*240</t>
  </si>
  <si>
    <t>FINESSE T 200*275</t>
  </si>
  <si>
    <t>FINESSE  T 250*350     [1516]</t>
  </si>
  <si>
    <t>FINESSE  T 250*400</t>
  </si>
  <si>
    <t>FINESSE  T 250*500</t>
  </si>
  <si>
    <t>FINESSE T 250*600</t>
  </si>
  <si>
    <t>FINESSE T 50*110</t>
  </si>
  <si>
    <t>FINESSE  T 50*120</t>
  </si>
  <si>
    <t>MYSTIC  T 192*290</t>
  </si>
  <si>
    <t>NAIM DL 60*220</t>
  </si>
  <si>
    <t>NIAGARA DL 60*220</t>
  </si>
  <si>
    <t>NIAGARA DO    70 * 200</t>
  </si>
  <si>
    <t>NIAGARA O 140*200  [1309]</t>
  </si>
  <si>
    <t>NIAGARA S    210 * 220</t>
  </si>
  <si>
    <t>NIAGARA SO    70 * 340</t>
  </si>
  <si>
    <t>SUBLIME T 150X220</t>
  </si>
  <si>
    <t>NIAGARA  T    170 * 260</t>
  </si>
  <si>
    <t>SUBLIME T 210X290</t>
  </si>
  <si>
    <t>FLORA T 155 * 240</t>
  </si>
  <si>
    <t>PALETTE BOIS M100*100</t>
  </si>
  <si>
    <t>ZAFRAN C 100X300</t>
  </si>
  <si>
    <t>ZAFRAN C 100X400</t>
  </si>
  <si>
    <t>ZAFRAN-DL60X220</t>
  </si>
  <si>
    <t>ZAFRAN DO 60*200</t>
  </si>
  <si>
    <t>ZAFRAN-P40X60</t>
  </si>
  <si>
    <t>ZAFRAN-S220X220</t>
  </si>
  <si>
    <t>ZAFRAN-SO80X280</t>
  </si>
  <si>
    <t>ZAFRAN T 190X280</t>
  </si>
  <si>
    <t>ZAFRAN T 200X280</t>
  </si>
  <si>
    <t>P  BB 100*50</t>
  </si>
  <si>
    <t>SELECT DL 60X220</t>
  </si>
  <si>
    <t>SELECT S 210*220  [0658]</t>
  </si>
  <si>
    <t>NOBLE T 150*220</t>
  </si>
  <si>
    <t>NOBLE-T200X280</t>
  </si>
  <si>
    <t>PRESTIGE DL 60X220</t>
  </si>
  <si>
    <t>PRESTIGE S 200*220  [0548]</t>
  </si>
  <si>
    <t>PRESTIGE T    140 * 220</t>
  </si>
  <si>
    <t>PRESTIGE T 200*280  [0550]</t>
  </si>
  <si>
    <t>ROYAL DO    62 * 200</t>
  </si>
  <si>
    <t>ROYAL SO    62 * 340</t>
  </si>
  <si>
    <t>SALSABIL P 40*60</t>
  </si>
  <si>
    <t>SAMI/NOBLE T    140 * 200</t>
  </si>
  <si>
    <t>SAMI  T   210 * 300</t>
  </si>
  <si>
    <t>STAR C 105*300</t>
  </si>
  <si>
    <t>STAR C 105*400</t>
  </si>
  <si>
    <t>STAR C 105*500</t>
  </si>
  <si>
    <t>STAR C 60*300</t>
  </si>
  <si>
    <t>JAMIL-C70X300</t>
  </si>
  <si>
    <t>STAR C 70*400</t>
  </si>
  <si>
    <t>STAR C 70*500</t>
  </si>
  <si>
    <t>STAR C 80*300</t>
  </si>
  <si>
    <t>STAR C 80*400</t>
  </si>
  <si>
    <t>STAR C 80*500</t>
  </si>
  <si>
    <t>STAR C 90*300</t>
  </si>
  <si>
    <t>STAR C 90*400</t>
  </si>
  <si>
    <t>STAR C 90*500</t>
  </si>
  <si>
    <t>STAR DL 60*220</t>
  </si>
  <si>
    <t>STAR RLX 100*100</t>
  </si>
  <si>
    <t>STAR S 210*220</t>
  </si>
  <si>
    <t>STAR S 60*370</t>
  </si>
  <si>
    <t>STAR T 120*170  [0670]</t>
  </si>
  <si>
    <t>STAR T 150*220</t>
  </si>
  <si>
    <t>STAR T 160*230  [0608]</t>
  </si>
  <si>
    <t>STAR T 210*270</t>
  </si>
  <si>
    <t>STAR T 210*400</t>
  </si>
  <si>
    <t>RELAX-T240X330</t>
  </si>
  <si>
    <t>STAR T 240*400</t>
  </si>
  <si>
    <t>STAR T 270*370</t>
  </si>
  <si>
    <t>STAR T 270*470</t>
  </si>
  <si>
    <t>SAVANE DL    60 *110</t>
  </si>
  <si>
    <t>SAVANE DL    80 *130</t>
  </si>
  <si>
    <t>SAVANE DL    80 * 260</t>
  </si>
  <si>
    <t>SAVANE S    200 * 220</t>
  </si>
  <si>
    <t>SAVANE S     80 * 420</t>
  </si>
  <si>
    <t>SAVANE T    140 * 220</t>
  </si>
  <si>
    <t>SAVANE T    160 * 230</t>
  </si>
  <si>
    <t>SAVANE-T200X290</t>
  </si>
  <si>
    <t>SHAGGY  O   200 * 290</t>
  </si>
  <si>
    <t>SHAGGY T    200 * 290</t>
  </si>
  <si>
    <t>SHAGGY T    240 * 350</t>
  </si>
  <si>
    <t>SOFT DL 65X200</t>
  </si>
  <si>
    <t>SOFT S 200*200  [0665]</t>
  </si>
  <si>
    <t>SOFT T    140 * 200</t>
  </si>
  <si>
    <t>SOFT T 200*280</t>
  </si>
  <si>
    <t>SUPER-SHAGGY T    200 * 290</t>
  </si>
  <si>
    <t>SULTAN C 100*300</t>
  </si>
  <si>
    <t>SUPRA C 100*400</t>
  </si>
  <si>
    <t>SULTAN T 150X220</t>
  </si>
  <si>
    <t>SULTAN T 200*290</t>
  </si>
  <si>
    <t>SUPRA T 250*350</t>
  </si>
  <si>
    <t>SUPRA T 250*400</t>
  </si>
  <si>
    <t>TIFFANY T 200*290  [1570]</t>
  </si>
  <si>
    <t>UNIVERS DL    60 * 220</t>
  </si>
  <si>
    <t>UNIVERS O    140 * 200</t>
  </si>
  <si>
    <t>UNIVERS S    210 * 220</t>
  </si>
  <si>
    <t>UNIVERS T    150 * 220</t>
  </si>
  <si>
    <t>UNIVERS  T    210 * 290</t>
  </si>
  <si>
    <t>COZY BB 140*200</t>
  </si>
  <si>
    <t>COZY C 105*300</t>
  </si>
  <si>
    <t>COZY C 105*400  [1148]</t>
  </si>
  <si>
    <t>COZY C 70*300</t>
  </si>
  <si>
    <t>COZY C 70*400</t>
  </si>
  <si>
    <t>COZY C 70*500</t>
  </si>
  <si>
    <t>COZY DL 60X220</t>
  </si>
  <si>
    <t>COZY DL 70*240</t>
  </si>
  <si>
    <t>COZY M 100*100</t>
  </si>
  <si>
    <t>COZY S 210X220</t>
  </si>
  <si>
    <t>COZY S 70*400</t>
  </si>
  <si>
    <t>COZY SO     70 * 510</t>
  </si>
  <si>
    <t>COZY T    150 * 220</t>
  </si>
  <si>
    <t>COZY T 200*280     [0226]</t>
  </si>
  <si>
    <t>VISCOS SAKANI C    100 * 100</t>
  </si>
  <si>
    <t>VISCOS SAKANI C    100 * 2000</t>
  </si>
  <si>
    <t>VISCOS SAKANI DL    70 * 220</t>
  </si>
  <si>
    <t>VISCOS SAKANI DO    67 * 200</t>
  </si>
  <si>
    <t>VISCOS SAKANI DO   80  * 150</t>
  </si>
  <si>
    <t>VISCOS SAKANI O    160 * 230</t>
  </si>
  <si>
    <t>VISCOS SAKANI R    160 * 160</t>
  </si>
  <si>
    <t>VISCOS SAKANI S     67 * 360</t>
  </si>
  <si>
    <t>VISCOS SAKANI SO    67 * 350</t>
  </si>
  <si>
    <t>VISCOS SAKANI T    160 * 230</t>
  </si>
  <si>
    <t>VISCOS SAKANI T    200 * 275</t>
  </si>
  <si>
    <t>VISCOS SAKANI T    300 * 380</t>
  </si>
  <si>
    <t>VOGUE DL    60 * 220</t>
  </si>
  <si>
    <t>YASMIN T 210X290</t>
  </si>
  <si>
    <t>COZY  MOKETE REMIS  M100*100</t>
  </si>
  <si>
    <t>ZAFRAN T 160X220</t>
  </si>
  <si>
    <t>ROSA T 250*400</t>
  </si>
  <si>
    <t>ZAFRAN T 250X400</t>
  </si>
  <si>
    <t>STAR SB 60*120</t>
  </si>
  <si>
    <t>COZY MQ - RL  210*1000</t>
  </si>
  <si>
    <t>FETH  T 295X400</t>
  </si>
  <si>
    <t>ROSA DO 60*200  [1437]</t>
  </si>
  <si>
    <t>COZY SB 60*120</t>
  </si>
  <si>
    <t>FREESIA T 270*370</t>
  </si>
  <si>
    <t>FREESIA O 150*220</t>
  </si>
  <si>
    <t>COZY R 150X150</t>
  </si>
  <si>
    <t>SELECT  T  250*400</t>
  </si>
  <si>
    <t>SELECT O 150*220  [1445]</t>
  </si>
  <si>
    <t>SELECT R 150*150  [1446]</t>
  </si>
  <si>
    <t>PACIFIC   DL 60*220</t>
  </si>
  <si>
    <t>SWEETY-BB150X220</t>
  </si>
  <si>
    <t>SWEETY-BB120X170</t>
  </si>
  <si>
    <t>MULTI  JERBAT T 200*280</t>
  </si>
  <si>
    <t>COZY T 250*385</t>
  </si>
  <si>
    <t>MADINAH  T 200*280</t>
  </si>
  <si>
    <t>INTENSE T200*280</t>
  </si>
  <si>
    <t>COZY  MQ - RL  210*2000</t>
  </si>
  <si>
    <t>FETH T 60X110</t>
  </si>
  <si>
    <t>ZAFRAN-O150X220</t>
  </si>
  <si>
    <t>ZAFRAN-R150X150</t>
  </si>
  <si>
    <t>STAR T 60*120  [0634]</t>
  </si>
  <si>
    <t>ARTLIRIK  T 200*290</t>
  </si>
  <si>
    <t>ART LUNA T 200*290</t>
  </si>
  <si>
    <t>MATRIX-T175X275</t>
  </si>
  <si>
    <t>PACIFIC S 220X220</t>
  </si>
  <si>
    <t>PACIFIC  T 160*220</t>
  </si>
  <si>
    <t>FINESSE  O 160*230</t>
  </si>
  <si>
    <t>ALLURE  T 210*280   [0043]</t>
  </si>
  <si>
    <t>ALFOMBRA  T 200*280  [0040]</t>
  </si>
  <si>
    <t>STAR S 240*250</t>
  </si>
  <si>
    <t>FETH-T210X280</t>
  </si>
  <si>
    <t>ALLURE  BB 105*150  [0984]</t>
  </si>
  <si>
    <t>ALLURE  DL 60*220</t>
  </si>
  <si>
    <t>ALLURE  S 210*220  [0983]</t>
  </si>
  <si>
    <t>FETH  O 125X170</t>
  </si>
  <si>
    <t>COZY RL MSQ 100*100</t>
  </si>
  <si>
    <t>ALFOMBRA  SO 80*280</t>
  </si>
  <si>
    <t>ALFOMBRA S 220*220</t>
  </si>
  <si>
    <t>SOUNDOUS T 200X280</t>
  </si>
  <si>
    <t>SOUNDOUS C 100X300</t>
  </si>
  <si>
    <t>SOUNDOUS C 100*400</t>
  </si>
  <si>
    <t>TASSILI T 200*280</t>
  </si>
  <si>
    <t>MIRAGE-T200X280</t>
  </si>
  <si>
    <t>ISTANBUL-T200X280</t>
  </si>
  <si>
    <t>CAZABLANCA T 200*280</t>
  </si>
  <si>
    <t>SALAYA  BCF T 70*110</t>
  </si>
  <si>
    <t>HCIRA TURKE T 155*240</t>
  </si>
  <si>
    <t>COZY  MQ-RL 4.20*20</t>
  </si>
  <si>
    <t>ALLURE T 150*220</t>
  </si>
  <si>
    <t>KOBA O 125*170</t>
  </si>
  <si>
    <t>ALFOMBRA  DO 60*200</t>
  </si>
  <si>
    <t>KOBA  R 125*125</t>
  </si>
  <si>
    <t>SOUNDOUS  O 125*170</t>
  </si>
  <si>
    <t>SOUNDOUS  R 125*125</t>
  </si>
  <si>
    <t>LUXE T 200X280</t>
  </si>
  <si>
    <t>FETH  M 100*100</t>
  </si>
  <si>
    <t>SELECT T 210*280  [1448]</t>
  </si>
  <si>
    <t>ZAFRAN  T 165*230     [1574]</t>
  </si>
  <si>
    <t>FETH  R 125X125</t>
  </si>
  <si>
    <t>BADR O 125*170</t>
  </si>
  <si>
    <t>STYLE  T 200*280</t>
  </si>
  <si>
    <t>BADR  R 125*125</t>
  </si>
  <si>
    <t>BOUCHRA  C 100*400</t>
  </si>
  <si>
    <t>FINESSE  C 90*20M</t>
  </si>
  <si>
    <t>TAIBA  R 125*125</t>
  </si>
  <si>
    <t>TAIBA  O 125*170</t>
  </si>
  <si>
    <t>FETH RLX 4.2*20</t>
  </si>
  <si>
    <t>BOUCHRA C 100*500</t>
  </si>
  <si>
    <t>BOUCHRA T 200X280</t>
  </si>
  <si>
    <t>FETH C 125*30</t>
  </si>
  <si>
    <t>ANDLOUS RL 200*7.50</t>
  </si>
  <si>
    <t>STAR C 105*30 M</t>
  </si>
  <si>
    <t>STAR C 120*30 M</t>
  </si>
  <si>
    <t>STAR C 150*30 M</t>
  </si>
  <si>
    <t>LOTUS T 200*280  [0324]</t>
  </si>
  <si>
    <t>BOUCHRA  R 125X125</t>
  </si>
  <si>
    <t>PLATINIUM-T200X280</t>
  </si>
  <si>
    <t>FETH  C 120X30 M</t>
  </si>
  <si>
    <t>FETH C 105*30 M</t>
  </si>
  <si>
    <t>FETH-C90X3000</t>
  </si>
  <si>
    <t>FETH-C120X3000</t>
  </si>
  <si>
    <t>FETH C 105X3000</t>
  </si>
  <si>
    <t>FINESSE M 100*100</t>
  </si>
  <si>
    <t>STAR M 100*100</t>
  </si>
  <si>
    <t>MIRAGE-S210X220</t>
  </si>
  <si>
    <t>UNIVERSEAL  T 200*280     [0893]</t>
  </si>
  <si>
    <t>FETH RLX 4.20*20  M  REMIS -DEFOUX</t>
  </si>
  <si>
    <t>FETH RLX 4.20*3.80 M  REMIS -DEFOUX</t>
  </si>
  <si>
    <t>BOUCHRA O 125X170</t>
  </si>
  <si>
    <t>ROSA  C 100*300</t>
  </si>
  <si>
    <t>ZAFRAN C 80*300</t>
  </si>
  <si>
    <t>FETH T 45X62</t>
  </si>
  <si>
    <t>AMIR DO 60X100</t>
  </si>
  <si>
    <t>MIMOSA T 160*230</t>
  </si>
  <si>
    <t>VISCOS SAKANI DL 70*110</t>
  </si>
  <si>
    <t>SUPRA  M 100*100</t>
  </si>
  <si>
    <t>RELAX-T180X270</t>
  </si>
  <si>
    <t>RELAX-S60X370</t>
  </si>
  <si>
    <t>BRILLANCE T 200X280</t>
  </si>
  <si>
    <t>RELAX-T210X270</t>
  </si>
  <si>
    <t>RELAX-T240X400</t>
  </si>
  <si>
    <t>RELAX-DL60X220</t>
  </si>
  <si>
    <t>RELAX-C90X300</t>
  </si>
  <si>
    <t>RELAX-C90X400</t>
  </si>
  <si>
    <t>RELAX-C90X500</t>
  </si>
  <si>
    <t>TULIPE T 200*275  [0882]       A</t>
  </si>
  <si>
    <t>TULIPE T 250*400  [0885]        A</t>
  </si>
  <si>
    <t>SAFARI T155*240  [1441]</t>
  </si>
  <si>
    <t>FREESIA T 210*280</t>
  </si>
  <si>
    <t>HADJER T 200*280</t>
  </si>
  <si>
    <t>TULIPE C 90*300     [0865]       A</t>
  </si>
  <si>
    <t>TULIPE C 90*400     [0867]         A</t>
  </si>
  <si>
    <t>TULIPE-C90X500</t>
  </si>
  <si>
    <t>RELAX-T150X220</t>
  </si>
  <si>
    <t>TULIPE T 160*230  [0880]     A</t>
  </si>
  <si>
    <t>ATLANTIC S 220X220</t>
  </si>
  <si>
    <t>ATLANTIC-SO80X292</t>
  </si>
  <si>
    <t>ATLANTIC T 60*110</t>
  </si>
  <si>
    <t>ATLANTIC T 160*220</t>
  </si>
  <si>
    <t>ATLANTIC-T200X280*AB</t>
  </si>
  <si>
    <t>TULIPE C 90*2000     [1509]      A</t>
  </si>
  <si>
    <t>FOCUS-T200X280</t>
  </si>
  <si>
    <t>ASSALA  RLX  125*067</t>
  </si>
  <si>
    <t>BARAKA RLX 125*0.67</t>
  </si>
  <si>
    <t>HIDAYA RLX 1.25*0.67</t>
  </si>
  <si>
    <t>KARAM 1.25*067</t>
  </si>
  <si>
    <t>RITAJ  T 200*280</t>
  </si>
  <si>
    <t>ELITE-T200X280</t>
  </si>
  <si>
    <t>RITAJ  C 100*300</t>
  </si>
  <si>
    <t>RITAJ  C 100*400</t>
  </si>
  <si>
    <t>RITAJ  C 100*500</t>
  </si>
  <si>
    <t>FREESIA DL 60*110</t>
  </si>
  <si>
    <t>MIRAGE  DL 60*110  [0426]           A</t>
  </si>
  <si>
    <t>SPLENDIDE T210*280</t>
  </si>
  <si>
    <t>SAFARI T 75*120  [0651]</t>
  </si>
  <si>
    <t>FINESSE P 50*70</t>
  </si>
  <si>
    <t>ATLANTIC  T 200X280</t>
  </si>
  <si>
    <t>MIRAGE-T150X220</t>
  </si>
  <si>
    <t>BRILLANCE DO 60*200</t>
  </si>
  <si>
    <t>HIDAYA MSQ 100*100</t>
  </si>
  <si>
    <t>CHARME DO 60*200</t>
  </si>
  <si>
    <t>ATLANTIC  DO 65*100</t>
  </si>
  <si>
    <t>BRILLANCE  DL 60*110</t>
  </si>
  <si>
    <t>ATLANTIC  DL 65*100</t>
  </si>
  <si>
    <t>BRILLANCE SO 80X280</t>
  </si>
  <si>
    <t>ASTRA T 200*280</t>
  </si>
  <si>
    <t>BOUCHRA  SB 62*120  [1044]</t>
  </si>
  <si>
    <t>BRILLANCE T 160X220</t>
  </si>
  <si>
    <t>UNIVERSEL S 200*220</t>
  </si>
  <si>
    <t>ECLISSE T 200*280     [0256]</t>
  </si>
  <si>
    <t>JINEN RLX 125*0.67</t>
  </si>
  <si>
    <t>RITAJ 125*0.67</t>
  </si>
  <si>
    <t>RITAJ MSQ 100*100</t>
  </si>
  <si>
    <t>FREESIA RL MSQ 100*100</t>
  </si>
  <si>
    <t>KARAM MSQ 100*100</t>
  </si>
  <si>
    <t>FOCUS P 40*62</t>
  </si>
  <si>
    <t>HARIME SULTAN S 210*220</t>
  </si>
  <si>
    <t>EDEN T 200*285     [0257]</t>
  </si>
  <si>
    <t>AURES T 200*275</t>
  </si>
  <si>
    <t>CASBAH   T 200*280</t>
  </si>
  <si>
    <t>ASSALA RLX     125*050</t>
  </si>
  <si>
    <t>BARAKA   RL   125*0.50</t>
  </si>
  <si>
    <t>ESTIME M 100*100</t>
  </si>
  <si>
    <t>ESTIME T 200*280</t>
  </si>
  <si>
    <t>FETH RLX 0.62*9.5</t>
  </si>
  <si>
    <t>FETH RLX 0.62*19</t>
  </si>
  <si>
    <t>ESTIME  P 40*60</t>
  </si>
  <si>
    <t>FETH-S60X220</t>
  </si>
  <si>
    <t>ASSALA RL 125*0.50</t>
  </si>
  <si>
    <t>BARAKA RL 125*0.50</t>
  </si>
  <si>
    <t>HIDAYA RL 125*0.50</t>
  </si>
  <si>
    <t>MAJD RL 1.25*0.50</t>
  </si>
  <si>
    <t>MAJD RL 125*0.67</t>
  </si>
  <si>
    <t>KARAM RL 1.25*0.50</t>
  </si>
  <si>
    <t>FETH T 60X120</t>
  </si>
  <si>
    <t>RITAGE T 60*120</t>
  </si>
  <si>
    <t>KARAM RLX 1.20*0.50</t>
  </si>
  <si>
    <t>FETH RL 1.25*20M PRESIDENTIEL</t>
  </si>
  <si>
    <t>FETH RLX 0.62*3</t>
  </si>
  <si>
    <t>FETH RLX 0.62*5.50</t>
  </si>
  <si>
    <t>FETH RLX 0.62*7</t>
  </si>
  <si>
    <t>FETH MSQ 1.25*3.50</t>
  </si>
  <si>
    <t>FETH MSQ 1.25*7</t>
  </si>
  <si>
    <t>FETH RLX 1.25*10.50</t>
  </si>
  <si>
    <t>FETH RLX 1.25*14</t>
  </si>
  <si>
    <t>FETH RLX 1.25*20</t>
  </si>
  <si>
    <t>TULIPE T 60*110</t>
  </si>
  <si>
    <t>FREESIA RLX 1.33*25</t>
  </si>
  <si>
    <t>MIRAGE-SO180X130</t>
  </si>
  <si>
    <t>MIRAGE-T240X400</t>
  </si>
  <si>
    <t>ASSALA RLX 0.62*20.50</t>
  </si>
  <si>
    <t>ASSALA RLX 1.25*20</t>
  </si>
  <si>
    <t>ASSALA  RLX 1.25*20.50</t>
  </si>
  <si>
    <t>FOCUS DL 60*110</t>
  </si>
  <si>
    <t>BARAKA RLX 0.62*7.50</t>
  </si>
  <si>
    <t>BARAKA RLX 0.62*16</t>
  </si>
  <si>
    <t>BARAKA MSQ 1.25*15</t>
  </si>
  <si>
    <t>BARAKA MSQ 1.25*16</t>
  </si>
  <si>
    <t>MIRAGE  RL 125*2000           A</t>
  </si>
  <si>
    <t>MIRAGE T 295*400     [0467]           A</t>
  </si>
  <si>
    <t>ZAFRAN  O 150X220</t>
  </si>
  <si>
    <t>BRILLANCE T 250X400</t>
  </si>
  <si>
    <t>ICHBILIA T 200*290</t>
  </si>
  <si>
    <t>STYLE  SO 80*292</t>
  </si>
  <si>
    <t>ICHENTIENT T 200*275</t>
  </si>
  <si>
    <t>TAPIS ECHANTILLION 200*300</t>
  </si>
  <si>
    <t>MATRIX-T200X280</t>
  </si>
  <si>
    <t>MIRAGE RLX 1.25*25           A</t>
  </si>
  <si>
    <t>ARIDJ-T210X280</t>
  </si>
  <si>
    <t>FREESIA  RLX  4.20*6.50</t>
  </si>
  <si>
    <t>FREESIA  RLX  4.2*13</t>
  </si>
  <si>
    <t>FREESIA   RLX  4.2*20</t>
  </si>
  <si>
    <t>BARAKA  RLX 1.25*18</t>
  </si>
  <si>
    <t>ASSALA RLX 0.62*18</t>
  </si>
  <si>
    <t>ASSALA  RLX 0.62*21</t>
  </si>
  <si>
    <t>ASSALA MOSQ 1.25*9.5</t>
  </si>
  <si>
    <t>ASSALA RLX 1.25*11</t>
  </si>
  <si>
    <t>ASSALA RLX 1.25*14</t>
  </si>
  <si>
    <t>ASSALA RLX 1.25*17</t>
  </si>
  <si>
    <t>ASSALA RLX 1.25*21</t>
  </si>
  <si>
    <t>MIRAGE-C105X300</t>
  </si>
  <si>
    <t>OPERA-T200X275</t>
  </si>
  <si>
    <t>BARAKA RL 0.62*13.50</t>
  </si>
  <si>
    <t>BARAKA RL1.25*26.5</t>
  </si>
  <si>
    <t>BRILLANCE SO 80X292</t>
  </si>
  <si>
    <t>FREESIA S 210*220</t>
  </si>
  <si>
    <t>ASSALA   RLX 1.25*10.50</t>
  </si>
  <si>
    <t>FREESIA  T 150*220</t>
  </si>
  <si>
    <t>TADJ-T200X275</t>
  </si>
  <si>
    <t>RELAX-SB60X120</t>
  </si>
  <si>
    <t>FREESIA RL 1.05*20</t>
  </si>
  <si>
    <t>MATRIX  RLX 100X20                A</t>
  </si>
  <si>
    <t>MIRAGE-C105X400</t>
  </si>
  <si>
    <t>MIRAGE C 105*500  [0398]           A</t>
  </si>
  <si>
    <t>MATRIX S 220*220           A</t>
  </si>
  <si>
    <t>MIRAGE RLX  4.20*2000           A</t>
  </si>
  <si>
    <t>BARAKA RLX  1.25*12.5</t>
  </si>
  <si>
    <t>BARAKA MSQ 1.25*13</t>
  </si>
  <si>
    <t>MATRIX C 90*20M</t>
  </si>
  <si>
    <t>TULIPE S 200*220  [0877]       A</t>
  </si>
  <si>
    <t>MATRIX C 90*300           A</t>
  </si>
  <si>
    <t>MATRIX C  90X400                   A</t>
  </si>
  <si>
    <t>MATRIX  C 90X500                       A</t>
  </si>
  <si>
    <t>MATRIX  S 90X440                      A</t>
  </si>
  <si>
    <t>MATRIX S 220*220</t>
  </si>
  <si>
    <t>RELAX-S60X120</t>
  </si>
  <si>
    <t>MIRAGE-C84X300</t>
  </si>
  <si>
    <t>MIRAGE-C84X400</t>
  </si>
  <si>
    <t>MIRAGE-C84X500</t>
  </si>
  <si>
    <t>OPERA-T200X400</t>
  </si>
  <si>
    <t>MIRAGE RLX  1.25*22.9           A</t>
  </si>
  <si>
    <t>MIRAGE RLX 1.25*23.3           A</t>
  </si>
  <si>
    <t>BRILLANCE C 100*20 M</t>
  </si>
  <si>
    <t>MIRAGE C 105*20 M           A</t>
  </si>
  <si>
    <t>MIRAGE M 100*100           A</t>
  </si>
  <si>
    <t>UNIVERSEL S 210*220</t>
  </si>
  <si>
    <t>ARIDJ C 84*300           A</t>
  </si>
  <si>
    <t>ARIDJ C 84*400           A</t>
  </si>
  <si>
    <t>ARIDJ C 84*500           A</t>
  </si>
  <si>
    <t>FREESIA RL 420*19.50</t>
  </si>
  <si>
    <t>MATRIX C 100X20                   A</t>
  </si>
  <si>
    <t>TULIPE C 100*2000  [0862]     A</t>
  </si>
  <si>
    <t>KARAM RLX 1.25*20</t>
  </si>
  <si>
    <t>FREESIA RL 0.60*11</t>
  </si>
  <si>
    <t>FREESIA RL 1.20*9.50</t>
  </si>
  <si>
    <t>FREESIA RL 1.20*19</t>
  </si>
  <si>
    <t>FREESIA RL 1.20*22</t>
  </si>
  <si>
    <t>FREESIA RL 0.60*28</t>
  </si>
  <si>
    <t>FREESIA RL 0.60*30</t>
  </si>
  <si>
    <t>UNIVERSEL M 100*100</t>
  </si>
  <si>
    <t>RITADJ  RLX  1.25*0.50</t>
  </si>
  <si>
    <t>FETH RL 4.00*20</t>
  </si>
  <si>
    <t>TULIPE T 250*500  [0888]      A</t>
  </si>
  <si>
    <t>OPERA T 140X220                B</t>
  </si>
  <si>
    <t>OPERA-S200X220</t>
  </si>
  <si>
    <t>OPERA T 60*110  [0495]           B</t>
  </si>
  <si>
    <t>VALENCIA-T200X280</t>
  </si>
  <si>
    <t>UNIVERSEL RL 4.20*20</t>
  </si>
  <si>
    <t>BRILLANCE C 90*300  [1049]</t>
  </si>
  <si>
    <t>BRILLANCE C 90*400</t>
  </si>
  <si>
    <t>JINEN-DL60X110</t>
  </si>
  <si>
    <t>UNIVERSEL T 50*100</t>
  </si>
  <si>
    <t>TULIPE C 90*19 M</t>
  </si>
  <si>
    <t>BARAKA RL 0.62*12</t>
  </si>
  <si>
    <t>BARAKA RL 1.25*11.50</t>
  </si>
  <si>
    <t>BARAKA RL 1.25*12</t>
  </si>
  <si>
    <t>BARAKA RL 0.62*15</t>
  </si>
  <si>
    <t>BARAKA RL 1.25*1</t>
  </si>
  <si>
    <t>TULIPE C 90 *7.70</t>
  </si>
  <si>
    <t>ATLANTIC R 120*120</t>
  </si>
  <si>
    <t>JINEN RL 1.25*0.50</t>
  </si>
  <si>
    <t>RELAX-C80X400</t>
  </si>
  <si>
    <t>RELAX-C80X500</t>
  </si>
  <si>
    <t>TULIPE O 160*230     [0873]       A</t>
  </si>
  <si>
    <t>TULIPE R 160*160     [0875]       A</t>
  </si>
  <si>
    <t>TULIPE C 90*1000</t>
  </si>
  <si>
    <t>TULIPE C 100*8.85</t>
  </si>
  <si>
    <t>TULIPE C 100*400     [1505]       A</t>
  </si>
  <si>
    <t>TULIPE C 90*2.10</t>
  </si>
  <si>
    <t>TULIPE C 90*2.80</t>
  </si>
  <si>
    <t>TULIPE C 90*3.80 (DECLASSE)</t>
  </si>
  <si>
    <t>TULIPE C 90*5.90</t>
  </si>
  <si>
    <t>TULIPE C 90*11.50 (DECLASSE)</t>
  </si>
  <si>
    <t>TULIPE C 90*12 (DECLASSE)</t>
  </si>
  <si>
    <t>TULIPE C 100*2.80</t>
  </si>
  <si>
    <t>TULIPE C 100*300     [1504]       A</t>
  </si>
  <si>
    <t>TULIPE C 100*5.80</t>
  </si>
  <si>
    <t>TULIPE C 100*600</t>
  </si>
  <si>
    <t>MIRAGE T 80*210           A</t>
  </si>
  <si>
    <t>TULIPE C 90*12.19 (DECLASSE)</t>
  </si>
  <si>
    <t>TULIPE C 90*12.50</t>
  </si>
  <si>
    <t>TULIPE C 90*6.9 (DECLASSE)</t>
  </si>
  <si>
    <t>TULIPE C 100*15.30</t>
  </si>
  <si>
    <t>TULIPE C 100*12.50</t>
  </si>
  <si>
    <t>TULIPE C 100*6.30</t>
  </si>
  <si>
    <t>TULIPE C 100*6.20</t>
  </si>
  <si>
    <t>TULIPE C 100*6.50</t>
  </si>
  <si>
    <t>TULIPE C 100*10.80</t>
  </si>
  <si>
    <t>TULIPE C 100*1500</t>
  </si>
  <si>
    <t>TULIPE C 100*19.50</t>
  </si>
  <si>
    <t>FETH RL 1.25*1.6</t>
  </si>
  <si>
    <t>KARAM RL 1.25*2M</t>
  </si>
  <si>
    <t>MAJD RL 1.25*0.80</t>
  </si>
  <si>
    <t>TULIPE C 90*3.5</t>
  </si>
  <si>
    <t>TULIPE-C90X600</t>
  </si>
  <si>
    <t>RELAX-C80X300</t>
  </si>
  <si>
    <t>JINEN RL 0.62*9</t>
  </si>
  <si>
    <t>JINEN RL 0.62*17.50</t>
  </si>
  <si>
    <t>BOUCHRA RL 1.25*1.10</t>
  </si>
  <si>
    <t>BOUCHRA RL 1.25*10 M</t>
  </si>
  <si>
    <t>BOUCHRA RL 1.25*9.3</t>
  </si>
  <si>
    <t>BARAKA RL 1.25*16.4</t>
  </si>
  <si>
    <t>BARAKA RL 1.25*17.5</t>
  </si>
  <si>
    <t>ASSALA RL 1.25*15M</t>
  </si>
  <si>
    <t>ASSALA RL  1.25*15.5</t>
  </si>
  <si>
    <t>MAJD RL 1.25*5M</t>
  </si>
  <si>
    <t>MAJD MSQ 1.25*18.5</t>
  </si>
  <si>
    <t>MAJD RL 1.25*12.5</t>
  </si>
  <si>
    <t>TULIPE C 90*3.3</t>
  </si>
  <si>
    <t>TULIPE C 90*15.3 (DECLASSE)</t>
  </si>
  <si>
    <t>HIDAYA MSQ 1.25*20</t>
  </si>
  <si>
    <t>HIDAYA MSQ 1.25*21</t>
  </si>
  <si>
    <t>HIDAYA MSQ 1.25*9.5</t>
  </si>
  <si>
    <t>HIDAYA MSQ 1.25*11</t>
  </si>
  <si>
    <t>HIDAYA MSQ 1.25*14</t>
  </si>
  <si>
    <t>HIDAYA MSQ 1.25*17</t>
  </si>
  <si>
    <t>HIDAYA MSQ 0.62*18</t>
  </si>
  <si>
    <t>HIDAYA MSQ 0.45*21</t>
  </si>
  <si>
    <t>FREESIA MQT REMIS 4.00*7.00</t>
  </si>
  <si>
    <t>FREESIA RLX  2.10*1.5</t>
  </si>
  <si>
    <t>FREESIA RLX 2.10*1 M</t>
  </si>
  <si>
    <t>COZY C 105X1400</t>
  </si>
  <si>
    <t>FREESIA RLX 0.50*2.10</t>
  </si>
  <si>
    <t>FREESIA RLX 1.05*16</t>
  </si>
  <si>
    <t>FREESIA MSQ 1.25*20</t>
  </si>
  <si>
    <t>FREESIA MSQ 1.25*24</t>
  </si>
  <si>
    <t>VISCOS SAKANI C 1.00*2500</t>
  </si>
  <si>
    <t>VISCOS SAKANI C 1.00*23</t>
  </si>
  <si>
    <t>VISCOS SAKANI C 1.00*18.5</t>
  </si>
  <si>
    <t>VISCOS SAKANI C 1.00*16.95</t>
  </si>
  <si>
    <t>VISCOS SAKANI C 1.00*7.8</t>
  </si>
  <si>
    <t>VISCOS SAKANI C 1.00*11.6</t>
  </si>
  <si>
    <t>VISCOS SAKANI C 1.00*2.45</t>
  </si>
  <si>
    <t>VISCOS SAKANI C 1.00*4.00</t>
  </si>
  <si>
    <t>VISCOS SAKANI C 1.00*3.00</t>
  </si>
  <si>
    <t>VISCOS SAKANI C 1.00*4.6</t>
  </si>
  <si>
    <t>VISCOS SAKANI C 1.00*3.5</t>
  </si>
  <si>
    <t>VISCOS SAKANI C 1.00*7.00</t>
  </si>
  <si>
    <t>VISCOS SAKANI C 1.00*3.1</t>
  </si>
  <si>
    <t>VISCOS SAKANI C 1.00*14.7</t>
  </si>
  <si>
    <t>VISCOS SAKANI C 1.00*13.16</t>
  </si>
  <si>
    <t>FREESIA MSQ 1.33*20</t>
  </si>
  <si>
    <t>FETH RLX 1.05*5.30</t>
  </si>
  <si>
    <t>FETH C 105X2000</t>
  </si>
  <si>
    <t>FETH  RLX 1.05*15.90</t>
  </si>
  <si>
    <t>FETH RLX 1.05*15.80</t>
  </si>
  <si>
    <t>FETH RLX 0.90*22.70</t>
  </si>
  <si>
    <t>FETH RLX 1.20*3.50</t>
  </si>
  <si>
    <t>FETH RLX 0.90*10.50</t>
  </si>
  <si>
    <t>FETH RLX 1.25X30</t>
  </si>
  <si>
    <t>RELAX-RLX1.05X26.5</t>
  </si>
  <si>
    <t>RELAX-RLX1.50X19</t>
  </si>
  <si>
    <t>RELAX-RLX1.05X27</t>
  </si>
  <si>
    <t>RELAX-RLX1.20X17</t>
  </si>
  <si>
    <t>RELAX-RLX1.20X10.5</t>
  </si>
  <si>
    <t>RELAX RLX 1.05*3.5</t>
  </si>
  <si>
    <t>RELAX RLX 1.20*3.5</t>
  </si>
  <si>
    <t>UNIVERSEL  RLX 0.50*4.20</t>
  </si>
  <si>
    <t>FETH RLX 0.90*18.33</t>
  </si>
  <si>
    <t>JINEN MSQ 1.25*17.50</t>
  </si>
  <si>
    <t>AL JAMEL RL 1.25*0.67</t>
  </si>
  <si>
    <t>AL FADL RL 1.25*0.67</t>
  </si>
  <si>
    <t>AL RACHED RL 1.25*0.67</t>
  </si>
  <si>
    <t>NOUZHA-T155X240</t>
  </si>
  <si>
    <t>ASSALA RLX 1.25*2</t>
  </si>
  <si>
    <t>AL JAMEL RLX 1.25*0.50</t>
  </si>
  <si>
    <t>VELVET T 210*280     [0932]</t>
  </si>
  <si>
    <t>BARAKA MSQ 0.62*7</t>
  </si>
  <si>
    <t>BARAKA MSQ 1.25*4.50</t>
  </si>
  <si>
    <t>BARAKA MSQ 1.25*7</t>
  </si>
  <si>
    <t>BARAKA MSQ 1.25*13.50</t>
  </si>
  <si>
    <t>CAMELIA T 210X280</t>
  </si>
  <si>
    <t>TAGHIT T 210*280  [0854]</t>
  </si>
  <si>
    <t>AZALEA-T200X280</t>
  </si>
  <si>
    <t>KATEFA T 200*275     [0314]</t>
  </si>
  <si>
    <t>MALAYSIA T 200*280</t>
  </si>
  <si>
    <t>KOBA RL 125*0.67</t>
  </si>
  <si>
    <t>TAIBA    RL 125*0.67</t>
  </si>
  <si>
    <t>KOBA MSQ 1.25*25</t>
  </si>
  <si>
    <t>ASSALA MSQ 0.62*8.50</t>
  </si>
  <si>
    <t>VALENCIA-S220X220</t>
  </si>
  <si>
    <t>ASSALA MSQ 0.62*16.50</t>
  </si>
  <si>
    <t>ASSALA MSQ 1.25*16.50</t>
  </si>
  <si>
    <t>KOBA MSQ 0.62*7.50</t>
  </si>
  <si>
    <t>KOBA MSQ 1.25*7.50</t>
  </si>
  <si>
    <t>VALENCIA-SO80X292</t>
  </si>
  <si>
    <t>BARAKA MSQ 0.62*27</t>
  </si>
  <si>
    <t>BARAKA MSQ 1.25*27</t>
  </si>
  <si>
    <t>TULIPE RL 90*900</t>
  </si>
  <si>
    <t>TULIPE RL 100*6.70</t>
  </si>
  <si>
    <t>TULIPE RL 100*7</t>
  </si>
  <si>
    <t>TADJ  C 100*25 M             A</t>
  </si>
  <si>
    <t>TADJ-S200X220</t>
  </si>
  <si>
    <t>TADJ C 100X300          A</t>
  </si>
  <si>
    <t>TADJ-C100X400</t>
  </si>
  <si>
    <t>TADJ-C100X500</t>
  </si>
  <si>
    <t>TULIPE RL 100*5.50</t>
  </si>
  <si>
    <t>KOBA MSQ 0.62*30</t>
  </si>
  <si>
    <t>TULIPE  RL 90*18.70</t>
  </si>
  <si>
    <t>BADR MSQ 1.25*20</t>
  </si>
  <si>
    <t>KOBA  MSQ 1.25*20</t>
  </si>
  <si>
    <t>TULIPE O 125*170     [0872]       A</t>
  </si>
  <si>
    <t>ALMADINA BB 134*180</t>
  </si>
  <si>
    <t>JORJORA S 160*230</t>
  </si>
  <si>
    <t>BADR MSQ  1.25*15</t>
  </si>
  <si>
    <t>KATEFA C 100*200</t>
  </si>
  <si>
    <t>SALAYA ECHANTILLON 60*120</t>
  </si>
  <si>
    <t>FETH MSQ 1.25*15</t>
  </si>
  <si>
    <t>ARIDJ-S210X220</t>
  </si>
  <si>
    <t>MATRIX T 160*230  [0372]           A</t>
  </si>
  <si>
    <t>ARIDJ T 295*400     [0167]        A</t>
  </si>
  <si>
    <t>FETH  MSQ 0.62*20</t>
  </si>
  <si>
    <t>FETH MSQ 1.25*20</t>
  </si>
  <si>
    <t>KOBA  MSQ 0.62*20</t>
  </si>
  <si>
    <t>KOBA    MSQ    1.25*20</t>
  </si>
  <si>
    <t>TAIBA  MSQ 0.62*20</t>
  </si>
  <si>
    <t>TAIBA  MSQ 1.25*20</t>
  </si>
  <si>
    <t>MALAYSIA  S 220*220</t>
  </si>
  <si>
    <t>FREESIA MSQ 2.10*10</t>
  </si>
  <si>
    <t>TULIPE RL 100*16</t>
  </si>
  <si>
    <t>AL FADL MSQ 1.25*25</t>
  </si>
  <si>
    <t>MALAYSIA S 180*130</t>
  </si>
  <si>
    <t>TAGHIT T  70*150</t>
  </si>
  <si>
    <t>VALENCIA-T160X220</t>
  </si>
  <si>
    <t>KATEFA C 100*2000</t>
  </si>
  <si>
    <t>ARIDJ MQT 2.10*20</t>
  </si>
  <si>
    <t>KATEFA C 100X1600</t>
  </si>
  <si>
    <t>KATEFA MSQ 2.00*10</t>
  </si>
  <si>
    <t>KATEFA MQT 2.00*18</t>
  </si>
  <si>
    <t>KATEFA MQT 2.00*19.50</t>
  </si>
  <si>
    <t>KATEFA MQT 2.00*20</t>
  </si>
  <si>
    <t>EL JAMEL MSQ 1.25*25</t>
  </si>
  <si>
    <t>KOBA  MSQ 0.62*1 M</t>
  </si>
  <si>
    <t>KOBA MSQ   0.62*12.50</t>
  </si>
  <si>
    <t>KOBA  MSQ  1.25*10</t>
  </si>
  <si>
    <t>MIRAGE MQT 420*1200           A</t>
  </si>
  <si>
    <t>HIDAYA  MSQ 1.25*25</t>
  </si>
  <si>
    <t>KATEFA C 100*18.40</t>
  </si>
  <si>
    <t>KATEFA C 100*20 M</t>
  </si>
  <si>
    <t>TULIPE RL 100*10</t>
  </si>
  <si>
    <t>ALFADL RL 1.25*0.50</t>
  </si>
  <si>
    <t>ELMOUNIR RL 1.25*0.50</t>
  </si>
  <si>
    <t>MAJD RL 1.25*0.69</t>
  </si>
  <si>
    <t>BADR RL 1.25*0.67</t>
  </si>
  <si>
    <t>ARIDJ T 150X220</t>
  </si>
  <si>
    <t>AL  FADL MSQ 1.25*11.50</t>
  </si>
  <si>
    <t>AL  FADL  MSQ  1.25*11.84</t>
  </si>
  <si>
    <t>AL  FADL  MSQ 1.25*12.73</t>
  </si>
  <si>
    <t>KATEFA   RL 1.00*19</t>
  </si>
  <si>
    <t>KATEFA   RL 1.00*19.7</t>
  </si>
  <si>
    <t>KATEFA   RL 1.00 *7.50</t>
  </si>
  <si>
    <t>KATEFA  RL 1.00*7.50</t>
  </si>
  <si>
    <t>ARIDJ   RL 1.25*0.50</t>
  </si>
  <si>
    <t>KATEFA M 100*100</t>
  </si>
  <si>
    <t>KATEFA MQT 2.00*5.30</t>
  </si>
  <si>
    <t>KATEFA  MQT 2.00*19</t>
  </si>
  <si>
    <t>MAJD MSQ 0.62*1</t>
  </si>
  <si>
    <t>MAJD MSQ 0.62*10</t>
  </si>
  <si>
    <t>MAJD MSQ 1.25*7</t>
  </si>
  <si>
    <t>MAJD MSQ 1.25*27.50</t>
  </si>
  <si>
    <t>TAGHIT MSQ 1.25*20</t>
  </si>
  <si>
    <t>TULIPE T 250*600  [0891]        A</t>
  </si>
  <si>
    <t>AL FADL MSQ1.25*6.40</t>
  </si>
  <si>
    <t>AL FADL MSQ 1.25*18</t>
  </si>
  <si>
    <t>TULIPE C 1.00*15.55</t>
  </si>
  <si>
    <t>FREESIA C 1.25*9.80</t>
  </si>
  <si>
    <t>FREESIA C 1.25*10</t>
  </si>
  <si>
    <t>FREESIA C 1.25*9.30</t>
  </si>
  <si>
    <t>FREESIA C 1.25*14.30</t>
  </si>
  <si>
    <t>FREESIA C 1.25*20 M</t>
  </si>
  <si>
    <t>KATEFA C 1.00*14M</t>
  </si>
  <si>
    <t>KOBA MSQ 0.62*8.50</t>
  </si>
  <si>
    <t>KOBA MSQ 0.62*26</t>
  </si>
  <si>
    <t>KOBA MSQ 1.25*4</t>
  </si>
  <si>
    <t>KOBA MSQ 1.25*6</t>
  </si>
  <si>
    <t>KOBA MSQ 1.25*8.50</t>
  </si>
  <si>
    <t>KOBA MSQ 1.25*14</t>
  </si>
  <si>
    <t>MAJD MSQ 0.62*9</t>
  </si>
  <si>
    <t>MAJD MSQ 0.62*18.50</t>
  </si>
  <si>
    <t>MAJD MSQ 1.25*18</t>
  </si>
  <si>
    <t>TULIPE RL 100*12.40</t>
  </si>
  <si>
    <t>TULIPE RL 100*19.70</t>
  </si>
  <si>
    <t>VALENCIA DL 60*110     [1527]        B</t>
  </si>
  <si>
    <t>KITCHEN S 60*220           A/B</t>
  </si>
  <si>
    <t>FETH MSQ 0.62*34</t>
  </si>
  <si>
    <t>FETH MSQ 0.62*34.50</t>
  </si>
  <si>
    <t>FETH MSQ  1.25*34.50</t>
  </si>
  <si>
    <t>KATEFA MSQ 2.00*7.40</t>
  </si>
  <si>
    <t>KATEFA MSQ 2.00*9</t>
  </si>
  <si>
    <t>KATEFA MQT 2.00*10</t>
  </si>
  <si>
    <t>KATEFA MQT 2.00*14</t>
  </si>
  <si>
    <t>KATEFA MQT 2.00*14.50</t>
  </si>
  <si>
    <t>TAGHIT MSQ 0.45*20M</t>
  </si>
  <si>
    <t>TULIPE C 90*7.50</t>
  </si>
  <si>
    <t>TULIPE C 100*12.25</t>
  </si>
  <si>
    <t>MALAYSIA DL 65*100</t>
  </si>
  <si>
    <t>TULIPE C 90*17</t>
  </si>
  <si>
    <t>KATEFA C 1.05*19.00</t>
  </si>
  <si>
    <t>KATEFA C 100*1500</t>
  </si>
  <si>
    <t>TULIPE C 90*8.20</t>
  </si>
  <si>
    <t>TULIPE C 90*9.30 (DECLASSE)</t>
  </si>
  <si>
    <t>TULIPE C 100*18</t>
  </si>
  <si>
    <t>KATEFA  T 66*120</t>
  </si>
  <si>
    <t>TAGHIT  MSQ  1.25*15.35</t>
  </si>
  <si>
    <t>TAGHIT 1.25*15.70</t>
  </si>
  <si>
    <t>ARIDJ DL  60*110           A</t>
  </si>
  <si>
    <t>KATEFA  C 100*5.5</t>
  </si>
  <si>
    <t>KATEFA  C 100*18</t>
  </si>
  <si>
    <t>KATEFA  C 90*19.5</t>
  </si>
  <si>
    <t>TULIPE C 90*19 .5 (DECLASSE)</t>
  </si>
  <si>
    <t>TULIPE C 90*14</t>
  </si>
  <si>
    <t>TULIPE C 90*15.5</t>
  </si>
  <si>
    <t>TULIPE RL 100*13</t>
  </si>
  <si>
    <t>BADR  MSQ  0.62*6</t>
  </si>
  <si>
    <t>BADR  MSQ  1.25*6</t>
  </si>
  <si>
    <t>BADR  MSQ  1.25*11.50</t>
  </si>
  <si>
    <t>TAGHIT  RL 4.20*20</t>
  </si>
  <si>
    <t>TAIBA  MSQ  0.62*10</t>
  </si>
  <si>
    <t>TAIBA  MSQ  1.25*10</t>
  </si>
  <si>
    <t>TAIBA  MSQ  1.25*19.50</t>
  </si>
  <si>
    <t>AL FADL  S  125*120</t>
  </si>
  <si>
    <t>KATEFA  RL   0.95*16.50</t>
  </si>
  <si>
    <t>TULIPE   RL  100*6.98</t>
  </si>
  <si>
    <t>PLUME-T200X280</t>
  </si>
  <si>
    <t>WISSAL T 66*120</t>
  </si>
  <si>
    <t>ALASKA-T210X280</t>
  </si>
  <si>
    <t>ANOUAR-T210X280</t>
  </si>
  <si>
    <t>SWEETY T 210*285           A</t>
  </si>
  <si>
    <t>TULIPE   RL  90*19.70</t>
  </si>
  <si>
    <t>KATEFA C 1.00*10.50</t>
  </si>
  <si>
    <t>KATEFA C 0.95*18.50</t>
  </si>
  <si>
    <t>KATEFA C 1.00*19.5</t>
  </si>
  <si>
    <t>IMPERIAL-T210X280</t>
  </si>
  <si>
    <t>TULIPE  RL   90*19.40</t>
  </si>
  <si>
    <t>TADJ  C 100*19.40        A</t>
  </si>
  <si>
    <t>EL ISRAA MSQ 1.25*20</t>
  </si>
  <si>
    <t>EL JAMEL MSQ 0.62*20</t>
  </si>
  <si>
    <t>EL JAMEL MSQ 1.25*10</t>
  </si>
  <si>
    <t>EL JAMEL MSQ 1.25*20</t>
  </si>
  <si>
    <t>TULIPE T 140*220  [0878]      A</t>
  </si>
  <si>
    <t>FETH C 120X2500</t>
  </si>
  <si>
    <t>VALENCIA  DL  65*100</t>
  </si>
  <si>
    <t>VALENCIA-T250X400</t>
  </si>
  <si>
    <t>VALENCIA-E150X340</t>
  </si>
  <si>
    <t>VALENCIA-T150X220</t>
  </si>
  <si>
    <t>EL IMENE T 66*120</t>
  </si>
  <si>
    <t>KOBA MSQ 0.60*6.60</t>
  </si>
  <si>
    <t>KATEFA MQT 2.00*19.60</t>
  </si>
  <si>
    <t>KATEFA MQT 2.00*0.40</t>
  </si>
  <si>
    <t>PLUME-SO180X130</t>
  </si>
  <si>
    <t>PLUME-S220X220</t>
  </si>
  <si>
    <t>SWEETY MQT 3.00*12  [0463]</t>
  </si>
  <si>
    <t>AL FADL MSQ 1.25*18.50</t>
  </si>
  <si>
    <t>FETH RLX 1.20*12</t>
  </si>
  <si>
    <t>SWEETY-BB300X400</t>
  </si>
  <si>
    <t>ALROKAI P 62*45</t>
  </si>
  <si>
    <t>AL FADL P 62*45</t>
  </si>
  <si>
    <t>AL RACHED P 62*45</t>
  </si>
  <si>
    <t>EL ISRAA MSQ 125*0.67</t>
  </si>
  <si>
    <t>EL ANFAL MSQ 125*0.67</t>
  </si>
  <si>
    <t>EL SALAM MSQ 125*0.67</t>
  </si>
  <si>
    <t>AL JAMEL P 62*45</t>
  </si>
  <si>
    <t>SWEETY T 180X270        A+B</t>
  </si>
  <si>
    <t>FETH C 1.20*20</t>
  </si>
  <si>
    <t>KOBA MSQ 1.25*26</t>
  </si>
  <si>
    <t>IMPERIAL C 105X300</t>
  </si>
  <si>
    <t>ANOUAR DL 60*110</t>
  </si>
  <si>
    <t>FREESIA RL 4.20*1</t>
  </si>
  <si>
    <t>ANOUAR T 70*100</t>
  </si>
  <si>
    <t>AL RACHED MSQ 0.62*4</t>
  </si>
  <si>
    <t>AL RACHED MSQ 1.25*5.50</t>
  </si>
  <si>
    <t>AL RACHED MSQ 1.25*7.50</t>
  </si>
  <si>
    <t>ALASKA T 180*280           B</t>
  </si>
  <si>
    <t>EL JAMEL MSQ 0.62*19</t>
  </si>
  <si>
    <t>EL JAMEL MSQ 1.25*19</t>
  </si>
  <si>
    <t>SWEETY RL 3.00*20  [1463]</t>
  </si>
  <si>
    <t>TULIPE RL 100*2.30</t>
  </si>
  <si>
    <t>TULIPE RL 100*19.50</t>
  </si>
  <si>
    <t>ANOUAR T 70*70</t>
  </si>
  <si>
    <t>KATEFA   T 160*230     [0313]</t>
  </si>
  <si>
    <t>AL FADL    RL 0.62*20</t>
  </si>
  <si>
    <t>AL FADL   MSQ  1.25*10</t>
  </si>
  <si>
    <t>AL FADL  MSQ  1.25*20  (35)</t>
  </si>
  <si>
    <t>TULIPE C 100*100  [1502]      A</t>
  </si>
  <si>
    <t>TULIPE RL 100*2.60</t>
  </si>
  <si>
    <t>PLUME RL 400*12</t>
  </si>
  <si>
    <t>FETH  MSQ 0.62*30</t>
  </si>
  <si>
    <t>KATEFA  C  100*500</t>
  </si>
  <si>
    <t>TULIPE  RL 100*7.5</t>
  </si>
  <si>
    <t>TULIPE  RL 100*8</t>
  </si>
  <si>
    <t>MAJD MSQ 1.25*0.50</t>
  </si>
  <si>
    <t>MAJD MSQ 1.25*5.50</t>
  </si>
  <si>
    <t>MAJD MSQ 1.25*11</t>
  </si>
  <si>
    <t>RELAX-S60X330</t>
  </si>
  <si>
    <t>TAGHIT C 84*500  [0842]      A</t>
  </si>
  <si>
    <t>TAGHIT RL 2.10*1</t>
  </si>
  <si>
    <t>TAGHIT T 70*70</t>
  </si>
  <si>
    <t>MAJD MSQ 1.25*13.50</t>
  </si>
  <si>
    <t>MAJD MSQ 1.25*26.50</t>
  </si>
  <si>
    <t>AL FADL MSQ 0.62*9.50</t>
  </si>
  <si>
    <t>AL FADL MSQ 1.25*8.50</t>
  </si>
  <si>
    <t>AL FADL MSQ 1.25*9.50</t>
  </si>
  <si>
    <t>AL FADL MSQ 1.25*12</t>
  </si>
  <si>
    <t>AL FADL MSQ 1.25*17</t>
  </si>
  <si>
    <t>AL FADL MSQ 1.25*19</t>
  </si>
  <si>
    <t>AL FADL MSQ 1*12</t>
  </si>
  <si>
    <t>AL FADL MSQ 0.25*12</t>
  </si>
  <si>
    <t>KATEFA P 40*60</t>
  </si>
  <si>
    <t>VALENCIA-C100X400</t>
  </si>
  <si>
    <t>EL JAMEL RL 1.25*1</t>
  </si>
  <si>
    <t>ANOUAR-C105X500</t>
  </si>
  <si>
    <t>TULIPE C  90*100  [1507]       A</t>
  </si>
  <si>
    <t>FETH C 120*6.5</t>
  </si>
  <si>
    <t>FETH C 120*23.5</t>
  </si>
  <si>
    <t>TULIPE RL 100*6.80</t>
  </si>
  <si>
    <t>KITCHEN-S60X210</t>
  </si>
  <si>
    <t>MALYSIA T 160*230</t>
  </si>
  <si>
    <t>TULIPE T 90*150           A</t>
  </si>
  <si>
    <t>ANOUAR-S60X120</t>
  </si>
  <si>
    <t>EL JAMEL  MSQ 1.25*19.50</t>
  </si>
  <si>
    <t>KATEFA O 160*230</t>
  </si>
  <si>
    <t>KATIFA  R  160*160     [0312]</t>
  </si>
  <si>
    <t>BRILLANCE S 150X340</t>
  </si>
  <si>
    <t>EL FAKHIR RL 1.25*0.67</t>
  </si>
  <si>
    <t>ALASKA C 105*30.00  [0014]           B</t>
  </si>
  <si>
    <t>MIRAGE-C105X3000</t>
  </si>
  <si>
    <t>VALENCIA C 100*100</t>
  </si>
  <si>
    <t>VALENCIA C 100*3000</t>
  </si>
  <si>
    <t>FETH  MSQ   0.62*12</t>
  </si>
  <si>
    <t>FETH  MSQ  1.25*12</t>
  </si>
  <si>
    <t>EL  JAMEL  MSQ   0.62*6.50</t>
  </si>
  <si>
    <t>EL JAMEL MSQ  0.62*13</t>
  </si>
  <si>
    <t>EL JAMEL  MSQ  1.25*6.50</t>
  </si>
  <si>
    <t>EL JAMEL  MSQ  1.25*13</t>
  </si>
  <si>
    <t>KITCHEN-O150X220</t>
  </si>
  <si>
    <t>KITCHEN R 150X150</t>
  </si>
  <si>
    <t>TULIPE T 250*350           A</t>
  </si>
  <si>
    <t>TULIPE T 200*150  [0879]       A</t>
  </si>
  <si>
    <t>ALASKA-C105X300</t>
  </si>
  <si>
    <t>ALASKA C 105*400  [0015]           B</t>
  </si>
  <si>
    <t>ALASKA C 105*500  [0016]           B</t>
  </si>
  <si>
    <t>KITCHEN T 180X270</t>
  </si>
  <si>
    <t>VALENCIA DL 75*120           B</t>
  </si>
  <si>
    <t>ALASKA P 42*62           B</t>
  </si>
  <si>
    <t>EL JAMEL C 110*650</t>
  </si>
  <si>
    <t>EL JAMEL RL 390*6.50</t>
  </si>
  <si>
    <t>MAJD MSQ 0.62*16</t>
  </si>
  <si>
    <t>MAJD MSQ 0.62*32</t>
  </si>
  <si>
    <t>MAJD MSQ 1.25*14</t>
  </si>
  <si>
    <t>MAJD MSQ 1.25*28</t>
  </si>
  <si>
    <t>MAJD MSQ 1.25*32</t>
  </si>
  <si>
    <t>ALASKA C 84*300           B</t>
  </si>
  <si>
    <t>ALASKA C 84*400           B</t>
  </si>
  <si>
    <t>ALASKA C 84*500           B</t>
  </si>
  <si>
    <t>AZALEA  P  40*60</t>
  </si>
  <si>
    <t>MIRAGE C 84*2500           A</t>
  </si>
  <si>
    <t>EL MOUNIR MSQ 1.25*20</t>
  </si>
  <si>
    <t>ALASKA MQT 2.10*20           B</t>
  </si>
  <si>
    <t>OLYMPIA-T200X280</t>
  </si>
  <si>
    <t>EL JAMEL MSQ 0.62*7</t>
  </si>
  <si>
    <t>EL JAMEL MSQ 0.62*13.50</t>
  </si>
  <si>
    <t>EL JAMEL MSQ 1.25*7</t>
  </si>
  <si>
    <t>EL JAMEL MSQ 1.25*8.50</t>
  </si>
  <si>
    <t>EL JAMEL MSQ 1.25*13.50</t>
  </si>
  <si>
    <t>EL JAMEL MSQ 1.25*17</t>
  </si>
  <si>
    <t>EL JAMEL MSQ 1.25*27</t>
  </si>
  <si>
    <t>EL JAMEL MSQ 1.25*31</t>
  </si>
  <si>
    <t>OLYMPIA-S220X220</t>
  </si>
  <si>
    <t>SWEETY BB 60*100           A</t>
  </si>
  <si>
    <t>VALENCIA  C  120*3000           B</t>
  </si>
  <si>
    <t>OLYMPIA-SO180X130</t>
  </si>
  <si>
    <t>VALENCIA P 40*60           B</t>
  </si>
  <si>
    <t>AL RACHED  1.25*15.50</t>
  </si>
  <si>
    <t>OLYMPIA-DO65X100*B</t>
  </si>
  <si>
    <t>MIRAGE MQT 415*2000           A</t>
  </si>
  <si>
    <t>ATLANTIC T 180*270  [1032]</t>
  </si>
  <si>
    <t>BRILLANCE DL 75*120</t>
  </si>
  <si>
    <t>MIRAGE C 100*300  [0387]           A</t>
  </si>
  <si>
    <t>MIRAGE C 100X400      A</t>
  </si>
  <si>
    <t>MIRAGE-C100X500</t>
  </si>
  <si>
    <t>MIRAGE C 120*3000           A</t>
  </si>
  <si>
    <t>TULIPE C 83*500           A</t>
  </si>
  <si>
    <t>TULIPE C 90*4 (DECLASSE)</t>
  </si>
  <si>
    <t>TULIPE C 90*11 (DECLASSE)</t>
  </si>
  <si>
    <t>TULIPE C 90*16</t>
  </si>
  <si>
    <t>TULIPE C 90*4.30 (DECLASSE)</t>
  </si>
  <si>
    <t>TULIPE C 90*4.60 (DECLASSE)</t>
  </si>
  <si>
    <t>TULIPE C 90*9.50 (DECLASSE)</t>
  </si>
  <si>
    <t>TULIPE C 90*11.20 (DECLASSE)</t>
  </si>
  <si>
    <t>TULIPE C 90*12.30 (DECLASSE)</t>
  </si>
  <si>
    <t>TULIPE C 90*16.80 (DECLASSE)</t>
  </si>
  <si>
    <t>TULIPE C 90*16.50</t>
  </si>
  <si>
    <t>AL FADL MSQ 1.25*2.70</t>
  </si>
  <si>
    <t>AL FADL MSQ 1.25*3</t>
  </si>
  <si>
    <t>AL FADL MSQ 1.25*3.60</t>
  </si>
  <si>
    <t>AL FADL MSQ 1.25*3.70</t>
  </si>
  <si>
    <t>AL FADL MSQ 1.25*7.50</t>
  </si>
  <si>
    <t>AL FADL MSQ 1.25*11.30</t>
  </si>
  <si>
    <t>AL RACHED MSQ 0.62*20  (40)</t>
  </si>
  <si>
    <t>AL RACHED MSQ 1.25*10</t>
  </si>
  <si>
    <t>AL RACHED MSQ 1.25*25</t>
  </si>
  <si>
    <t>EL FAKHER MSQ 1.25*10</t>
  </si>
  <si>
    <t>EL FAKHRE MSQ 1.25*19.33</t>
  </si>
  <si>
    <t>EL FAKHER MSQ 1.25*20</t>
  </si>
  <si>
    <t>EL FAKHER MSQ 1.25*24</t>
  </si>
  <si>
    <t>EL JAMEL MSQ 0.62*10</t>
  </si>
  <si>
    <t>EL JAMEL MSQ 1.25*1.70</t>
  </si>
  <si>
    <t>EL JAMEL MSQ 1.25*2.28</t>
  </si>
  <si>
    <t>EL JAMEL MSQ 1.25*2.70</t>
  </si>
  <si>
    <t>EL JAMEL MSQ 1.25*3</t>
  </si>
  <si>
    <t>EL JAMEL MSQ 1.25*3.10</t>
  </si>
  <si>
    <t>EL JAMEL MSQ 1.25*3.19</t>
  </si>
  <si>
    <t>EL JAMEL MSQ 1.25*3.30</t>
  </si>
  <si>
    <t>EL JAMEL MSQ 1.25*3.75</t>
  </si>
  <si>
    <t>EL JAMEL MSQ 1.25*3.92</t>
  </si>
  <si>
    <t>EL JAMEL MSQ 1.25*3.98</t>
  </si>
  <si>
    <t>EL JAMEL MSQ 1.25*4.20</t>
  </si>
  <si>
    <t>EL JAMEL MSQ 1.25*4.45</t>
  </si>
  <si>
    <t>EL JAMEL MSQ 1.25*4.50</t>
  </si>
  <si>
    <t>EL JAMEL MSQ 1.25*4.64</t>
  </si>
  <si>
    <t>EL JAMEL MSQ 1.25*4.80</t>
  </si>
  <si>
    <t>EL JAMEL MSQ 1.25*4.90</t>
  </si>
  <si>
    <t>EL JAMEL MSQ 1.25*6</t>
  </si>
  <si>
    <t>EL JAMEL MSQ 1.25*6.15</t>
  </si>
  <si>
    <t>EL JAMEL MSQ 1.25*6.44</t>
  </si>
  <si>
    <t>EL JAMEL MSQ 1.25*6.70</t>
  </si>
  <si>
    <t>EL JAMEL MSQ 1.25*7.20</t>
  </si>
  <si>
    <t>EL JAMEL MSQ 1.25*7.48</t>
  </si>
  <si>
    <t>EL JAMEL MSQ 1.25*7.80</t>
  </si>
  <si>
    <t>EL JAMEL MSQ 1.25*8.60</t>
  </si>
  <si>
    <t>EL JAMEL MSQ 1.25*9.30</t>
  </si>
  <si>
    <t>EL JAMEL MSQ 1.25*9.40</t>
  </si>
  <si>
    <t>EL JAMEL MSQ 1.25*9.80</t>
  </si>
  <si>
    <t>EL JAMEL MSQ 1.25*9.85</t>
  </si>
  <si>
    <t>EL JAMEL MSQ 1.25*10.90</t>
  </si>
  <si>
    <t>EL JAMEL MSQ 1.25*11</t>
  </si>
  <si>
    <t>EL JAMEL MSQ 1.25*11.40</t>
  </si>
  <si>
    <t>EL JAMEL MSQ 1.25*14</t>
  </si>
  <si>
    <t>EL JAMEL MSQ 1.25*14.50</t>
  </si>
  <si>
    <t>EL JAMEL MSQ 1.25*17.72</t>
  </si>
  <si>
    <t>EL JAMEL MSQ 1.25*17.90</t>
  </si>
  <si>
    <t>EL JAMEL MSQ 1.25*21</t>
  </si>
  <si>
    <t>ALASKA C 84*25M           B</t>
  </si>
  <si>
    <t>EL JAMEL MSQ 0.62*14</t>
  </si>
  <si>
    <t>FETH T 240X300</t>
  </si>
  <si>
    <t>OLYMPIA-T160X220</t>
  </si>
  <si>
    <t>PLUME DL 65*100  [0528]           B</t>
  </si>
  <si>
    <t>SWEETY F 60*80           A</t>
  </si>
  <si>
    <t>SWEETY F 120*120           A</t>
  </si>
  <si>
    <t>TASSNIM-T200X275</t>
  </si>
  <si>
    <t>TULIPE C 84*9.80 (DECLASSE)</t>
  </si>
  <si>
    <t>TULIPE C 90*6.50 (DECLASSE)</t>
  </si>
  <si>
    <t>EL ANFAL RL 125*0.65</t>
  </si>
  <si>
    <t>EL ISRAA RL 125*0.65</t>
  </si>
  <si>
    <t>EL JAMEL RL 125*1</t>
  </si>
  <si>
    <t>EL MOUNIR 125*0.70</t>
  </si>
  <si>
    <t>FETH RL 125*0.50</t>
  </si>
  <si>
    <t>AL RACHED MSQ 1.25*13</t>
  </si>
  <si>
    <t>ANDALOUS MSQ 1.25*20</t>
  </si>
  <si>
    <t>BARAKA MSQ 0.62*2.10</t>
  </si>
  <si>
    <t>BARAKA MSQ 0.62*2.80</t>
  </si>
  <si>
    <t>BARAKA MSQ 0.62*6M</t>
  </si>
  <si>
    <t>BARAKA MSQ 0.62*12.50</t>
  </si>
  <si>
    <t>BARAKA MSQ 1.25*2.08</t>
  </si>
  <si>
    <t>BARAKA MSQ 1.25*2.20</t>
  </si>
  <si>
    <t>BARAKA MSQ 1.25*2.23</t>
  </si>
  <si>
    <t>BARAKA MSQ 1.25*2.50</t>
  </si>
  <si>
    <t>BARAKA MSQ 1.25*2.60</t>
  </si>
  <si>
    <t>BARAKA MSQ 1.25*3.30</t>
  </si>
  <si>
    <t>BARAKA MSQ 1.25*3.80</t>
  </si>
  <si>
    <t>BARAKA MSQ 1.25*4.85</t>
  </si>
  <si>
    <t>BARAKA MSQ 1.25*6.90</t>
  </si>
  <si>
    <t>BARAKA MSQ 1.25*9M</t>
  </si>
  <si>
    <t>BARAKA MSQ 1.25*9.20</t>
  </si>
  <si>
    <t>BARAKA MSQ 1.25*10M</t>
  </si>
  <si>
    <t>BARAKA MSQ 1.25*12</t>
  </si>
  <si>
    <t>BARAKA MSQ 1.25*12.50</t>
  </si>
  <si>
    <t>EL FAKHIR MSQ 0.62*17</t>
  </si>
  <si>
    <t>MAJD MSQ 0.62*18</t>
  </si>
  <si>
    <t>FETH-T275X300</t>
  </si>
  <si>
    <t>EL JAMEL MSQ 1.25*4</t>
  </si>
  <si>
    <t>EL JAMEL MSQ 0.62*6</t>
  </si>
  <si>
    <t>ALASKA-S210X220</t>
  </si>
  <si>
    <t>TASSNIM T 66*110</t>
  </si>
  <si>
    <t>ALASKA  T 60*110           B</t>
  </si>
  <si>
    <t>FETH   MSQ  0.62*13</t>
  </si>
  <si>
    <t>FETH  MSQ  1.25*4</t>
  </si>
  <si>
    <t>FETH   MSQ  1.25*13</t>
  </si>
  <si>
    <t>OLYMPIA-T60X110</t>
  </si>
  <si>
    <t>FREESIA P  35*70     [1231]         A/B</t>
  </si>
  <si>
    <t>TADJ-T250X400</t>
  </si>
  <si>
    <t>TADJ-C90X300</t>
  </si>
  <si>
    <t>TADJ-C90X400</t>
  </si>
  <si>
    <t>TADJ-T160X230</t>
  </si>
  <si>
    <t>TADJ-C90X500</t>
  </si>
  <si>
    <t>EL JAMEL MSQ 0.62*10.50</t>
  </si>
  <si>
    <t>EL JAMEL MSQ 0.62*20.50</t>
  </si>
  <si>
    <t>EL JAMEL MSQ 1.25*20.50</t>
  </si>
  <si>
    <t>TAGHIT S 60*120</t>
  </si>
  <si>
    <t>EL ISRAA MSQ 1.25*2.50</t>
  </si>
  <si>
    <t>EL ISRAA MSQ 1.25*8</t>
  </si>
  <si>
    <t>EL ISRAA MSQ 1.25*11</t>
  </si>
  <si>
    <t>EL ISRAA MSQ 1.25*12</t>
  </si>
  <si>
    <t>EL ISRAA MSQ 1.25*15.50</t>
  </si>
  <si>
    <t>EL ISRAA MSQ 1.25*18</t>
  </si>
  <si>
    <t>EL ISRAA MSQ 1.25*22</t>
  </si>
  <si>
    <t>OLYMPIA-T180X270</t>
  </si>
  <si>
    <t>EL JAMEL MSQ 0.62*8</t>
  </si>
  <si>
    <t>EL JAMEL MSQ 0.62*16</t>
  </si>
  <si>
    <t>EL JAMEL MSQ 1.25*8</t>
  </si>
  <si>
    <t>EL JAMEL MSQ 1.25*16</t>
  </si>
  <si>
    <t>OLYMPIA R 120*120          A</t>
  </si>
  <si>
    <t>VALENCIA  T  180X270                  B</t>
  </si>
  <si>
    <t>VALENCIA DL 60*110</t>
  </si>
  <si>
    <t>RELAX C 90*30 M</t>
  </si>
  <si>
    <t>VALENCIA  T  210*270</t>
  </si>
  <si>
    <t>AL FADL MSQ 0.62*28</t>
  </si>
  <si>
    <t>VICTORIA-S220X220</t>
  </si>
  <si>
    <t>VICTORIA-T200X280</t>
  </si>
  <si>
    <t>AUSTRALIA-T210X280</t>
  </si>
  <si>
    <t>DREAM  T  210*280</t>
  </si>
  <si>
    <t>OCEAN-T210X280</t>
  </si>
  <si>
    <t>PALMA  T  210*280</t>
  </si>
  <si>
    <t>SWEETY  DL 60*220           A</t>
  </si>
  <si>
    <t>SWEETY  MQT 4.20*20</t>
  </si>
  <si>
    <t>EL ISRAA MSQ 0.62*12.50</t>
  </si>
  <si>
    <t>EL ISRAA MSQ 1.25*6</t>
  </si>
  <si>
    <t>EL ISRAA MSQ 1.25*12.50</t>
  </si>
  <si>
    <t>EL ISRAA MSQ 1.25*16</t>
  </si>
  <si>
    <t>EL ISRAA MSQ 1.25*19</t>
  </si>
  <si>
    <t>EL ISRAA MSQ 1.25*21.50</t>
  </si>
  <si>
    <t>EL ISRAA MSQ 1.25*30</t>
  </si>
  <si>
    <t>EL ISRAA MSQ 1.25*32</t>
  </si>
  <si>
    <t>AMIRAL  T  210*280</t>
  </si>
  <si>
    <t>PLUME T 160*220     [0541]       B</t>
  </si>
  <si>
    <t>VICTORIA-T160X230</t>
  </si>
  <si>
    <t>VICTORIA-T40X60</t>
  </si>
  <si>
    <t>OCEAN-S210X220</t>
  </si>
  <si>
    <t>PLUME-T160X230</t>
  </si>
  <si>
    <t>EL ISRAA MSQ 0.62*10</t>
  </si>
  <si>
    <t>EL ISRAA MSQ 1.25*10</t>
  </si>
  <si>
    <t>AMIRAL T 80X120</t>
  </si>
  <si>
    <t>VICTORIA T 210*300           B</t>
  </si>
  <si>
    <t>IMPERIAL T 70*100</t>
  </si>
  <si>
    <t>SWEETY-BB140X200</t>
  </si>
  <si>
    <t>TADJ-C100X2000</t>
  </si>
  <si>
    <t>VALENCIA-S180X130</t>
  </si>
  <si>
    <t>VICTORIA T 105*100           B</t>
  </si>
  <si>
    <t>VICTOIRE T 105*100</t>
  </si>
  <si>
    <t>TADJ-C90X2000*A</t>
  </si>
  <si>
    <t>FETH  MSQ  1.25*25</t>
  </si>
  <si>
    <t>EL JAMEL MSQ 0.62*18</t>
  </si>
  <si>
    <t>EL JAMEL MSQ 1.25*15.5</t>
  </si>
  <si>
    <t>EL JAMEL MSQ 1.25*18</t>
  </si>
  <si>
    <t>FETH MSQ 1.25*11.5</t>
  </si>
  <si>
    <t>FETH MSQ 1.25*18.40</t>
  </si>
  <si>
    <t>RELAX C 90*12</t>
  </si>
  <si>
    <t>RELAX C 90*6</t>
  </si>
  <si>
    <t>RELAX C 90*6.90</t>
  </si>
  <si>
    <t>RELAX C 90*17.60</t>
  </si>
  <si>
    <t>RELAX C 90*19</t>
  </si>
  <si>
    <t>RELAX C 90*18</t>
  </si>
  <si>
    <t>RELAX C 90*13.70</t>
  </si>
  <si>
    <t>RELAX C 90*17.7</t>
  </si>
  <si>
    <t>RELAX C 90*10.7</t>
  </si>
  <si>
    <t>RELAX C 105*8</t>
  </si>
  <si>
    <t>RELAX C 105*9.30</t>
  </si>
  <si>
    <t>RELAX C 105*13</t>
  </si>
  <si>
    <t>RELAX C 105*21</t>
  </si>
  <si>
    <t>RELAX-C105X300</t>
  </si>
  <si>
    <t>TAGHIT MQT 2.10*20  [0082]      A</t>
  </si>
  <si>
    <t>EL ISRAA MSQ 0.62*6.50</t>
  </si>
  <si>
    <t>EL ISRAA MSQ 0.62*8</t>
  </si>
  <si>
    <t>EL ISRAA MSQ 0.62*11.50</t>
  </si>
  <si>
    <t>EL ISRAA MSQ 1.25*6.50</t>
  </si>
  <si>
    <t>EL ISRAA MSQ 1.25*9.50</t>
  </si>
  <si>
    <t>EL ISRAA MSQ 1.25*11.50</t>
  </si>
  <si>
    <t>EL ISRAA MSQ 1.25*13.50</t>
  </si>
  <si>
    <t>EL ISRAA MSQ 1.25*14</t>
  </si>
  <si>
    <t>EL ISRAA MSQ 1.25*15</t>
  </si>
  <si>
    <t>EL ISRAA MSQ 1.25*22.50</t>
  </si>
  <si>
    <t>RELAX T 210*290  [0615]        A</t>
  </si>
  <si>
    <t>PLUME DL 60*110  [0526]           B</t>
  </si>
  <si>
    <t>TAGHIT-MQT4.20X7.50</t>
  </si>
  <si>
    <t>TAGHIT  MQT 4.20*12</t>
  </si>
  <si>
    <t>TAGHIT  MQT  4.20*28</t>
  </si>
  <si>
    <t>TAGHIT  MQT  4.20*29</t>
  </si>
  <si>
    <t>TADJ-T200X375</t>
  </si>
  <si>
    <t>ANOUAR-T40X60</t>
  </si>
  <si>
    <t>FETH MSQ 1.25*6.50</t>
  </si>
  <si>
    <t>FETH MSQ 1.25*10</t>
  </si>
  <si>
    <t>FETH MSQ 1.25*16.50</t>
  </si>
  <si>
    <t>FETH MSQ 1.25*17.20</t>
  </si>
  <si>
    <t>KOBA MSQ 1.25*12.50</t>
  </si>
  <si>
    <t>TADJ-DL60X110</t>
  </si>
  <si>
    <t>FETH MSQ 1.25*12.50</t>
  </si>
  <si>
    <t>PLUME DO 65*100  [0529]           B</t>
  </si>
  <si>
    <t>PLUME-SO80X292</t>
  </si>
  <si>
    <t>TAGHIT S 60*210     [0848]</t>
  </si>
  <si>
    <t>TAGHIT S 180*130  [0850]</t>
  </si>
  <si>
    <t>FETH MSQ 0.45*20</t>
  </si>
  <si>
    <t>KOBA MSQ 0.62*11</t>
  </si>
  <si>
    <t>KOBA MSQ 0.62*13.50</t>
  </si>
  <si>
    <t>KOBA MSQ 1.25*11</t>
  </si>
  <si>
    <t>KOBA MSQ 1.25*13.50</t>
  </si>
  <si>
    <t>KOBA MSQ 1.25*17.50</t>
  </si>
  <si>
    <t>TAGH MQT 420*15</t>
  </si>
  <si>
    <t>TAGHIT MQT 420*21</t>
  </si>
  <si>
    <t>VALENCIA-SO180X130</t>
  </si>
  <si>
    <t>FETH MSQ 1.25*0.67</t>
  </si>
  <si>
    <t>BAYEN MSQ 1.25*25</t>
  </si>
  <si>
    <t>TADJ C 100*9.50                     A</t>
  </si>
  <si>
    <t>TADJ C 100*9.80             A</t>
  </si>
  <si>
    <t>TADJ-C100X1000</t>
  </si>
  <si>
    <t>TADJ C 100*17               A</t>
  </si>
  <si>
    <t>TADJ C 100*18              A</t>
  </si>
  <si>
    <t>TULIPE C 100*8.20</t>
  </si>
  <si>
    <t>TAGHIT MQT 4.00*20</t>
  </si>
  <si>
    <t>ALMERIA-T210X280</t>
  </si>
  <si>
    <t>TADJ-T200X150</t>
  </si>
  <si>
    <t>FETH MSQ 2.50*20</t>
  </si>
  <si>
    <t>ANOUAR MQT 4.20*20  [1020]</t>
  </si>
  <si>
    <t>TAGHIT DO 65*200  [0843]      A</t>
  </si>
  <si>
    <t>MIMOSA DO 80*140</t>
  </si>
  <si>
    <t>MIMOSA DO 60*200</t>
  </si>
  <si>
    <t>FETH MSQ 1.25*5.50</t>
  </si>
  <si>
    <t>AL FADL MSQ 0.62*17</t>
  </si>
  <si>
    <t>AL FADL MSQ 1.25*32.50</t>
  </si>
  <si>
    <t>AL FADL MSQ 1.25*33.50</t>
  </si>
  <si>
    <t>EL JAMEL MSQ 0.62*9</t>
  </si>
  <si>
    <t>EL JAMEL MSQ 1.25*16.50</t>
  </si>
  <si>
    <t>ALMERIA-S210X220</t>
  </si>
  <si>
    <t>TADJ C 100*19.50                A</t>
  </si>
  <si>
    <t>EL JAMEL MSQ 0.62*15</t>
  </si>
  <si>
    <t>EL JAMEL MSQ 1.25*7.50</t>
  </si>
  <si>
    <t>EL JAMEL MSQ 1.25*15</t>
  </si>
  <si>
    <t>EL JAMEL MSQ 0.62*9.50</t>
  </si>
  <si>
    <t>EL JAMEL MSQ 1.25*26</t>
  </si>
  <si>
    <t>TADJ-R125X125</t>
  </si>
  <si>
    <t>AMIRAL  S 210*220</t>
  </si>
  <si>
    <t>TADJ T 90*150   [0817]        A</t>
  </si>
  <si>
    <t>TADJ-R160X160</t>
  </si>
  <si>
    <t>TADJ-O160X230</t>
  </si>
  <si>
    <t>ALMERIA DL 60*220           B</t>
  </si>
  <si>
    <t>KOBA MSQ 0.62*9</t>
  </si>
  <si>
    <t>KOBA MSQ 1.25*4.50</t>
  </si>
  <si>
    <t>KOBA MSQ 1.25*9</t>
  </si>
  <si>
    <t>RELAX C 90X280              B</t>
  </si>
  <si>
    <t>RELAX-C90X370</t>
  </si>
  <si>
    <t>RELAX-C90X470</t>
  </si>
  <si>
    <t>RELAX C 90X570               B</t>
  </si>
  <si>
    <t>RELAX-T160X210</t>
  </si>
  <si>
    <t>RELAX-T200X260</t>
  </si>
  <si>
    <t>RELAX-T220X310</t>
  </si>
  <si>
    <t>ALMERIA T 150*220           B</t>
  </si>
  <si>
    <t>SWEETY BB 60*210           A</t>
  </si>
  <si>
    <t>RELAX S 60*210</t>
  </si>
  <si>
    <t>VALENCIA DO 65X100           B</t>
  </si>
  <si>
    <t>VALENCIA T 160*210</t>
  </si>
  <si>
    <t>VALENCIA T 200*260</t>
  </si>
  <si>
    <t>OLYMPIA DL 65*100          A</t>
  </si>
  <si>
    <t>EL SALAM MSQ 1.25*13.50</t>
  </si>
  <si>
    <t>EL SALAM MSQ 1.25*27</t>
  </si>
  <si>
    <t>KOBA MSQ 1.25*9.50</t>
  </si>
  <si>
    <t>KOBA MSQ 1.25*19</t>
  </si>
  <si>
    <t>VICTORIA DL 60*110           B</t>
  </si>
  <si>
    <t>ALASKA-T150X220</t>
  </si>
  <si>
    <t>TADJ C 90X4.75             A</t>
  </si>
  <si>
    <t>VALENCIA C 90*280</t>
  </si>
  <si>
    <t>VALENCIA C 90*370</t>
  </si>
  <si>
    <t>VALENCIA C 90*470</t>
  </si>
  <si>
    <t>VALENCIA S 120*250</t>
  </si>
  <si>
    <t>IZMIR-T170X250</t>
  </si>
  <si>
    <t>IZMIR T 250*430</t>
  </si>
  <si>
    <t>IZMIR T 250*630</t>
  </si>
  <si>
    <t>IZMIR T 250*530</t>
  </si>
  <si>
    <t>PLUME S 180*270  [0538]           B</t>
  </si>
  <si>
    <t>VALENCIA DL 60*100           B</t>
  </si>
  <si>
    <t>VALENCIA O 130*170</t>
  </si>
  <si>
    <t>VALENCIA R 130*130</t>
  </si>
  <si>
    <t>TADJ C 90X100                     A</t>
  </si>
  <si>
    <t>RELAX-R80X80</t>
  </si>
  <si>
    <t>AL FADL MSQ 0.62*7.50</t>
  </si>
  <si>
    <t>EL JAMEL MSQ 1.25*12.50</t>
  </si>
  <si>
    <t>AL FADL MSQ 1.25*15</t>
  </si>
  <si>
    <t>VICTOIRE T 210*300         (0938)</t>
  </si>
  <si>
    <t>MIRAGE MQT 210*1950           A</t>
  </si>
  <si>
    <t>MIRAGE MQT 210*20  [0432]           A</t>
  </si>
  <si>
    <t>ALMERIA T 295*400           B</t>
  </si>
  <si>
    <t>EL ISRAA MSQ 0.62*7.50</t>
  </si>
  <si>
    <t>EL ISRAA MSQ 0.62*20</t>
  </si>
  <si>
    <t>EL ISRAA MSQ 1.25*4</t>
  </si>
  <si>
    <t>EL ISRAA MSQ 1.25*7</t>
  </si>
  <si>
    <t>EL ISRAA MSQ 1.25*7.50</t>
  </si>
  <si>
    <t>ALMERIA MQT 4.20*11</t>
  </si>
  <si>
    <t>ALMERIA MQT 4.20*11.50</t>
  </si>
  <si>
    <t>EL ISRAA MSQ 0.62*24</t>
  </si>
  <si>
    <t>EL ISRAA MSQ 1.25*21</t>
  </si>
  <si>
    <t>EL ISRAA MSQ 1.25*24</t>
  </si>
  <si>
    <t>MIRAGE DL 60*220           A</t>
  </si>
  <si>
    <t>ALMERIA MSQ 1.25*25  [0062]</t>
  </si>
  <si>
    <t>EL JAMEL MSQ 1.25*7.65</t>
  </si>
  <si>
    <t>FETH MSQ 1.25*4.50</t>
  </si>
  <si>
    <t>FETH MSQ 0.45*8</t>
  </si>
  <si>
    <t>FETH MSQ 1.25*2.50</t>
  </si>
  <si>
    <t>FETH MSQ 0.45*11.50</t>
  </si>
  <si>
    <t>FETH MSQ 1.25*3</t>
  </si>
  <si>
    <t>TULIPE C 90*19.30</t>
  </si>
  <si>
    <t>OPERA-T200X160</t>
  </si>
  <si>
    <t>ALMERIA-T70X100</t>
  </si>
  <si>
    <t>OCEAN-S220X220</t>
  </si>
  <si>
    <t>OCEAN-T200X280</t>
  </si>
  <si>
    <t>ROMA S 220X220</t>
  </si>
  <si>
    <t>ROMA T 200*280</t>
  </si>
  <si>
    <t>TADJ C 100*8.8                    A</t>
  </si>
  <si>
    <t>TADJ C 100X1100              A</t>
  </si>
  <si>
    <t>TADJ T 140*220  [0783]        A</t>
  </si>
  <si>
    <t>VICTORIA-T160X220</t>
  </si>
  <si>
    <t>EL JAMEL MSQ 0.62*30</t>
  </si>
  <si>
    <t>EL JAMEL MSQ 1.25*30</t>
  </si>
  <si>
    <t>VICTORIA-SO180X130</t>
  </si>
  <si>
    <t>ARIDJ T 210X280</t>
  </si>
  <si>
    <t>DREAM T 80*150</t>
  </si>
  <si>
    <t>ROMA DL 80*150</t>
  </si>
  <si>
    <t>TAGHIT MQT 2.10*16</t>
  </si>
  <si>
    <t>TULIPE R 125*125     [1512]       A</t>
  </si>
  <si>
    <t>VALENCIA T 55*85           B</t>
  </si>
  <si>
    <t>VICTOIRE P 45*50     [0083]</t>
  </si>
  <si>
    <t>OMEGA T 80*150</t>
  </si>
  <si>
    <t>RELAX-S60X210</t>
  </si>
  <si>
    <t>ANOUAR-C105X300</t>
  </si>
  <si>
    <t>TADJ C 80*300  [0719]       A</t>
  </si>
  <si>
    <t>TADJ C 80*400  [0720]       A</t>
  </si>
  <si>
    <t>TADJ C 80*500  [0721]        A</t>
  </si>
  <si>
    <t>OCEAN T 60X110           A</t>
  </si>
  <si>
    <t>MIRAGE-T210X280</t>
  </si>
  <si>
    <t>MIRAGE C 100*280</t>
  </si>
  <si>
    <t>MIRAGE C 100*370  [0388]</t>
  </si>
  <si>
    <t>MIRAGE C 100X470 A</t>
  </si>
  <si>
    <t>MIRAGE T 160*210  [0458]</t>
  </si>
  <si>
    <t>MIRAGE T 200X260             A</t>
  </si>
  <si>
    <t>TADJ C 100*13.90              A</t>
  </si>
  <si>
    <t>EL ISRAA MSQ 0.62*2</t>
  </si>
  <si>
    <t>EL ISRAA MSQ 0.62*8.50</t>
  </si>
  <si>
    <t>EL ISRAA MSQ 0.62*21.50</t>
  </si>
  <si>
    <t>EL ISRAA MSQ 1.25*4.50</t>
  </si>
  <si>
    <t>EL ISRAA MSQ 1.25*5.50</t>
  </si>
  <si>
    <t>EL ISRAA MSQ 1.25*8.50</t>
  </si>
  <si>
    <t>EL ISRAA MSQ 1.25*9</t>
  </si>
  <si>
    <t>EL ISRAA MSQ 1.25*17</t>
  </si>
  <si>
    <t>MIRAGE DL 60*200  [0427]</t>
  </si>
  <si>
    <t>MIRAGE S 120*250</t>
  </si>
  <si>
    <t>ROMA T 160*220</t>
  </si>
  <si>
    <t>VICTORIA DL 60*220           B</t>
  </si>
  <si>
    <t>FETH MSQ 1.25*9</t>
  </si>
  <si>
    <t>TADJ C 100*6.80              A</t>
  </si>
  <si>
    <t>TADJ C 100*12             A</t>
  </si>
  <si>
    <t>TADJ C 100*15.50                    A</t>
  </si>
  <si>
    <t>TADJ C 100*19                   A</t>
  </si>
  <si>
    <t>TADJ-O200X150</t>
  </si>
  <si>
    <t>AL ROKAI MSQ 0.62*8.50</t>
  </si>
  <si>
    <t>AL ROKAI MSQ 1.25*17</t>
  </si>
  <si>
    <t>TAIBA MSQ 1.25*15.50</t>
  </si>
  <si>
    <t>MILANO-S220X220</t>
  </si>
  <si>
    <t>MILANO T 200*280  [0380]           B</t>
  </si>
  <si>
    <t>EL JAMEL MSQ 1.25*12</t>
  </si>
  <si>
    <t>EL JAMEL MSQ 1.25*12.10</t>
  </si>
  <si>
    <t>EL JAMEL MSQ 1.25*12.90</t>
  </si>
  <si>
    <t>EL JAMEL MSQ 1.25*13.60</t>
  </si>
  <si>
    <t>EL ISRAA MSQ 0.62*13</t>
  </si>
  <si>
    <t>EL ISRAA MSQ 1.25*13</t>
  </si>
  <si>
    <t>EL ISRAA MSQ 1.25*25</t>
  </si>
  <si>
    <t>EL ISRAA MSQ 1.25*25.50</t>
  </si>
  <si>
    <t>EL ISRAA MSQ 1.25*26</t>
  </si>
  <si>
    <t>EL ISRAA MSQ 1.25*26.50</t>
  </si>
  <si>
    <t>EL ISRAA MSQ 1.25*27</t>
  </si>
  <si>
    <t>EL JAMEL MSQ 1.25*6.80</t>
  </si>
  <si>
    <t>EL JAMEL MSQ 1.25*13.10</t>
  </si>
  <si>
    <t>TADJ C 100*10.10             A</t>
  </si>
  <si>
    <t>ANOUAR MQT 2.10*20  [1019]</t>
  </si>
  <si>
    <t>TADJ C 100*16               A</t>
  </si>
  <si>
    <t>MIRAGE DO 65*100  [0429]           A</t>
  </si>
  <si>
    <t>VALENCIA SO 80*390</t>
  </si>
  <si>
    <t>CASA-T200X275</t>
  </si>
  <si>
    <t>MIRAGE DL 60*200           A</t>
  </si>
  <si>
    <t>FETH MSQ 1.25*17</t>
  </si>
  <si>
    <t>FETH MSQ 0.45*17</t>
  </si>
  <si>
    <t>FETH MSQ 0.45*3</t>
  </si>
  <si>
    <t>OCEAN-T160X230</t>
  </si>
  <si>
    <t>ROMA DL 60*110</t>
  </si>
  <si>
    <t>FETH MSQ 1.25*22</t>
  </si>
  <si>
    <t>FETH MSQ 1.25*13.50</t>
  </si>
  <si>
    <t>FETH MSQ 0.62*15.50</t>
  </si>
  <si>
    <t>FETH MSQ 0.62*4.50</t>
  </si>
  <si>
    <t>MIRAGE C 84X2000             A</t>
  </si>
  <si>
    <t>EL JAMEL MSQ 1.25*9</t>
  </si>
  <si>
    <t>MIRAGE C 105*3000           A</t>
  </si>
  <si>
    <t>OCEAN P 40*60     [1314]      A</t>
  </si>
  <si>
    <t>OCEAN-SO180X130</t>
  </si>
  <si>
    <t>ARIDJ S 210X220     A</t>
  </si>
  <si>
    <t>TAGHIT MSQ 1.20*8</t>
  </si>
  <si>
    <t>TAGHIT MSQ 1.20*13.50</t>
  </si>
  <si>
    <t>TAGHIT MSQ 1.20*15.50</t>
  </si>
  <si>
    <t>TAGHIT MSQ 1.20*23.50</t>
  </si>
  <si>
    <t>TAGHIT MSQ 1.20*25.50</t>
  </si>
  <si>
    <t>TAGHIT MSQ 1.20*26</t>
  </si>
  <si>
    <t>TAGHIT MSQ 1.20*26.50</t>
  </si>
  <si>
    <t>TAGHIT MSQ 1.20*27</t>
  </si>
  <si>
    <t>TAGHIT MSQ 1.20*28.50</t>
  </si>
  <si>
    <t>TAGHIT MSQ 1.20*30.50</t>
  </si>
  <si>
    <t>DALLAS T 200X280</t>
  </si>
  <si>
    <t>DALLAS-S220X220</t>
  </si>
  <si>
    <t>MILANO T 60*110</t>
  </si>
  <si>
    <t>MILANO T 160*230           B</t>
  </si>
  <si>
    <t>VALENCIA DL 65*100</t>
  </si>
  <si>
    <t>VALENCIA DL 60*200</t>
  </si>
  <si>
    <t>DALLAS  T  160*220     [0240]        A</t>
  </si>
  <si>
    <t>VICTORIA-C84X300</t>
  </si>
  <si>
    <t>VICTORIA-C84X400</t>
  </si>
  <si>
    <t>VICTORIA-C84X500</t>
  </si>
  <si>
    <t>RELAX-T180X240</t>
  </si>
  <si>
    <t>RELAX T 210*275</t>
  </si>
  <si>
    <t>RELAX-T240X340</t>
  </si>
  <si>
    <t>VALENCIA-C90X300</t>
  </si>
  <si>
    <t>VALENCIA-C90X400</t>
  </si>
  <si>
    <t>VALENCIA-C90X500</t>
  </si>
  <si>
    <t>RELAX-S135X120</t>
  </si>
  <si>
    <t>TADJ C 100*3.50                 A</t>
  </si>
  <si>
    <t>ANOUAR MQT 2.10*7.50  [1019]</t>
  </si>
  <si>
    <t>EL ISRAA MSQ 0.62*9</t>
  </si>
  <si>
    <t>EL ISRAA MSQ 1.25*17.50</t>
  </si>
  <si>
    <t>EL JAMEL MSQ 1.25*6.45</t>
  </si>
  <si>
    <t>CARPETTE-T150</t>
  </si>
  <si>
    <t>TADJ-S100X282</t>
  </si>
  <si>
    <t>MIRAGE C 1.25*3.30</t>
  </si>
  <si>
    <t>MIRAGE C 1.25*4.50</t>
  </si>
  <si>
    <t>MIRAGE C 125*1500           A</t>
  </si>
  <si>
    <t>MIRAGE C 1.25*16</t>
  </si>
  <si>
    <t>MIRAGE C 1.25*19.50</t>
  </si>
  <si>
    <t>MIRAGE C 1.25*20 M           A</t>
  </si>
  <si>
    <t>TULIPE O 200*275     [1511]        A</t>
  </si>
  <si>
    <t>AL FADL MSQ 0.62*4</t>
  </si>
  <si>
    <t>AL FADL 0.62*5.50</t>
  </si>
  <si>
    <t>AL FADL MSQ 0.62*10.50</t>
  </si>
  <si>
    <t>AL FADL MSQ 1.25*4</t>
  </si>
  <si>
    <t>AL FADL MSQ 1.25*5.50</t>
  </si>
  <si>
    <t>AL FADL MSQ 1.25*8</t>
  </si>
  <si>
    <t>AL FADL MSQ 1.25*10.50</t>
  </si>
  <si>
    <t>TAGHIT C 105*27.50</t>
  </si>
  <si>
    <t>EL JAMEL MSQ 1.25*0.67</t>
  </si>
  <si>
    <t>AL ROKAI MSQ 1.25*0.67</t>
  </si>
  <si>
    <t>AL FADL MSQ 0.62*7</t>
  </si>
  <si>
    <t>AL FADL MSQ 0.62*11.50</t>
  </si>
  <si>
    <t>AL FADL MSQ 1.25*6</t>
  </si>
  <si>
    <t>AL FADL MSQ 1.25*6.50</t>
  </si>
  <si>
    <t>AL FADL MSQ 1.25*7</t>
  </si>
  <si>
    <t>AL FADL MSQ 1.25*12.50</t>
  </si>
  <si>
    <t>AL FADL MSQ 1.25*14</t>
  </si>
  <si>
    <t>ANTALYA-T210X280</t>
  </si>
  <si>
    <t>AL WAFAA DL 74*120  [1190]</t>
  </si>
  <si>
    <t>TADJ C 100*5.50                   A</t>
  </si>
  <si>
    <t>MIRAGE-T120X150</t>
  </si>
  <si>
    <t>VALENCIA T 120*150  [1539]           B</t>
  </si>
  <si>
    <t>TAGHIT MQT 2.10*30</t>
  </si>
  <si>
    <t>TAGHIT-C105X3000</t>
  </si>
  <si>
    <t>AUSTRALIA DL 60*110  [1033]</t>
  </si>
  <si>
    <t>AUSTRALIA-T160X220</t>
  </si>
  <si>
    <t>RELAX C 100*3000  [1399]</t>
  </si>
  <si>
    <t>PYRAMIDE T 160*220</t>
  </si>
  <si>
    <t>UNIVERSEL T 210*280     [0664]</t>
  </si>
  <si>
    <t>VICTORIA DL 65*100           B</t>
  </si>
  <si>
    <t>PYRAMIDE DL 60*220</t>
  </si>
  <si>
    <t>TADJ C 90X600                 A</t>
  </si>
  <si>
    <t>TADJ C 100*13.50                 A</t>
  </si>
  <si>
    <t>TADJ C 100X1500                A</t>
  </si>
  <si>
    <t>PLUME  P 40*60     [0535]      B</t>
  </si>
  <si>
    <t>RELAX P 40*60</t>
  </si>
  <si>
    <t>PYRAMIDE-T40X60</t>
  </si>
  <si>
    <t>TADJ C 90X14                 A</t>
  </si>
  <si>
    <t>TADJ C 90X1500               A</t>
  </si>
  <si>
    <t>TADJ-C100X700</t>
  </si>
  <si>
    <t>TADJ C 100*8.50            A</t>
  </si>
  <si>
    <t>TADJ C 100X900                  A</t>
  </si>
  <si>
    <t>TADJ C 100*11.50               A</t>
  </si>
  <si>
    <t>TADJ C 100*13            A</t>
  </si>
  <si>
    <t>TADJ C 100*16.90              A</t>
  </si>
  <si>
    <t>VALENCIA T 120*150</t>
  </si>
  <si>
    <t>TADJ C 100*3.30            A</t>
  </si>
  <si>
    <t>AL WAFAA P 54*40  [1192]</t>
  </si>
  <si>
    <t>AUSTRALIA-SO180X130</t>
  </si>
  <si>
    <t>AUSTRALIA-T200X280</t>
  </si>
  <si>
    <t>AL FADL MSQ 1.25*2</t>
  </si>
  <si>
    <t>AL FADL MSQ 1.25*5</t>
  </si>
  <si>
    <t>AL FADL MSQ 1.25*19.50</t>
  </si>
  <si>
    <t>AL FADL MSQ 1.25*21</t>
  </si>
  <si>
    <t>AL FADL MSQ 1.25*23</t>
  </si>
  <si>
    <t>AL FADL MSQ 1.25*23.50</t>
  </si>
  <si>
    <t>AL RACHED MSQ 1.25*1.90</t>
  </si>
  <si>
    <t>AL RACHED MSQ 1.25*2.50</t>
  </si>
  <si>
    <t>AL RACHED MSQ 1.25*3</t>
  </si>
  <si>
    <t>AL RACHED MSQ 1.25*3.20</t>
  </si>
  <si>
    <t>AL RACHED MSQ 1.25*3.40</t>
  </si>
  <si>
    <t>BRILLANCE P 40X60</t>
  </si>
  <si>
    <t>AL RACHED MSQ 1.25*3.50</t>
  </si>
  <si>
    <t>AL RACHED MSQ 1.25*4.80</t>
  </si>
  <si>
    <t>AL RACHED MSQ 1.25*4.90</t>
  </si>
  <si>
    <t>AL RACHED MSQ 1.25*5</t>
  </si>
  <si>
    <t>AL RACHED MSQ 1.25*17.70</t>
  </si>
  <si>
    <t>AL RACHED MSQ 1.25*19.50</t>
  </si>
  <si>
    <t>AL ROKAI MSQ 1.25*4.40</t>
  </si>
  <si>
    <t>AL ROKAI MSQ 1.25*4</t>
  </si>
  <si>
    <t>AL ROKAI MSQ 1.25*4.80</t>
  </si>
  <si>
    <t>AL ROKAI MSQ 1.25*5</t>
  </si>
  <si>
    <t>AL ROKAI MSQ 1.25*5.32</t>
  </si>
  <si>
    <t>AL ROKAI MSQ 1.25*6.30</t>
  </si>
  <si>
    <t>AL ROKAI MSQ 1.25*7.20</t>
  </si>
  <si>
    <t>AL ROKAI MSQ 1.25*9</t>
  </si>
  <si>
    <t>AL ROKAI MSQ 1.25*13.50</t>
  </si>
  <si>
    <t>AL ROKAI MSQ 1.25*21</t>
  </si>
  <si>
    <t>EL ISRAA MSQ 1.25*14.50</t>
  </si>
  <si>
    <t>EL ISRAA MSQ 1.25*24.50</t>
  </si>
  <si>
    <t>AL JAMEL MSQ 1.25*1.98</t>
  </si>
  <si>
    <t>AL JAMEL MSQ 1.25*2</t>
  </si>
  <si>
    <t>AL JAMEL MSQ 1.25*2.80</t>
  </si>
  <si>
    <t>AL JAMEL MSQ 1.25*2.50</t>
  </si>
  <si>
    <t>AL JAMEL MSQ 1.25*2.30</t>
  </si>
  <si>
    <t>AL JAMEL MSQ 1.25*3.50</t>
  </si>
  <si>
    <t>AL JAMEL MSQ 1.25*3.60</t>
  </si>
  <si>
    <t>AL JAMEL MSQ 1.25*5.50</t>
  </si>
  <si>
    <t>AL JAMEL MSQ 1.25*5.20</t>
  </si>
  <si>
    <t>AL JAMEL MSQ 1.25*5.90</t>
  </si>
  <si>
    <t>AL JAMEL MSQ 1.25*6.20</t>
  </si>
  <si>
    <t>AL JAMEL MSQ 1.25*6.90</t>
  </si>
  <si>
    <t>AL JAMEL MSQ 1.25*7.40</t>
  </si>
  <si>
    <t>AL JAMEL MSQ 1.25*8.25</t>
  </si>
  <si>
    <t>AL JAMEL MSQ 1.25*9.70</t>
  </si>
  <si>
    <t>AL JAMEL MSQ 1.25*9.50</t>
  </si>
  <si>
    <t>AL JAMEL MSQ 1.25*10.60</t>
  </si>
  <si>
    <t>AL JAMEL MSQ 1.25*10.70</t>
  </si>
  <si>
    <t>AL JAMEL MSQ 1.25*10.80</t>
  </si>
  <si>
    <t>AL JAMEL MSQ 1.25*15.10</t>
  </si>
  <si>
    <t>AL JAMEL MSQ 1.25*22</t>
  </si>
  <si>
    <t>AL JAMEL MSQ 1.25*24.50</t>
  </si>
  <si>
    <t>TAIBA MSQ 1.25*11.43</t>
  </si>
  <si>
    <t>AL JAMEL MSQ 1.25*1.80</t>
  </si>
  <si>
    <t>AL JAMEL MSQ 1.25*5</t>
  </si>
  <si>
    <t>AL JAMEL MSQ 1.25*5.60</t>
  </si>
  <si>
    <t>AL JAMEL MSQ 1.25*8.80</t>
  </si>
  <si>
    <t>AL JAMEL MSQ 1.25*10.50</t>
  </si>
  <si>
    <t>AL JAMEL MSQ 1.25*11.80</t>
  </si>
  <si>
    <t>AL JAMEL MSQ 1.25*23</t>
  </si>
  <si>
    <t>AL FADL MSQ 1.25*13.50</t>
  </si>
  <si>
    <t>TAGHIT MSQ 1.25*8.80</t>
  </si>
  <si>
    <t>KOBA MSQ 0.62*4.50</t>
  </si>
  <si>
    <t>EL JAMEL MSQ 1.25*100</t>
  </si>
  <si>
    <t>FETH MSQ 1.25*100</t>
  </si>
  <si>
    <t>BADR MSQ 1.25*100</t>
  </si>
  <si>
    <t>EL ISRAA MSQ 1.25*100</t>
  </si>
  <si>
    <t>AUSTRALIA-T40X60</t>
  </si>
  <si>
    <t>DALLAS T 60X40</t>
  </si>
  <si>
    <t>AL WAFAA P 25*70</t>
  </si>
  <si>
    <t>AL WAFAA P 35*60</t>
  </si>
  <si>
    <t>OPERA P 40*60  [0499]                B</t>
  </si>
  <si>
    <t>TADJ C 200X19.50                   A</t>
  </si>
  <si>
    <t>BAYEN MSQ 1.25*0.67</t>
  </si>
  <si>
    <t>DHOHA MSQ 1.25*0.67</t>
  </si>
  <si>
    <t>MILANO S 60*210           B</t>
  </si>
  <si>
    <t>AL RACHED MSQ 1.25*100  [0042]</t>
  </si>
  <si>
    <t>AL ROKAI MSQ 1.25*100  [0030]</t>
  </si>
  <si>
    <t>TAIBA MSQ 1.25*100</t>
  </si>
  <si>
    <t>AL ROKAI MSQ 1.25*20  [0030]</t>
  </si>
  <si>
    <t>AL ROKAI MSQ 1.25*25  [0030]</t>
  </si>
  <si>
    <t>TADJ DL 66*110           A</t>
  </si>
  <si>
    <t>EL FADL MSQ 1.25*100</t>
  </si>
  <si>
    <t>ASSALA MSQ 1.25*100</t>
  </si>
  <si>
    <t>BARAKA MSQ 1.25*100</t>
  </si>
  <si>
    <t>BARAKA MSQ 0.62*100</t>
  </si>
  <si>
    <t>EL FAKHER MSQ 1.25*100</t>
  </si>
  <si>
    <t>FREESIA MSQ 0.62*100</t>
  </si>
  <si>
    <t>FREESIA MSQ 1.20*100</t>
  </si>
  <si>
    <t>HIDAIA -BADR  MSQ 1.25*100</t>
  </si>
  <si>
    <t>HIDAIA MSQ 0.62*100</t>
  </si>
  <si>
    <t>KATIFA C 100*100</t>
  </si>
  <si>
    <t>KATIFA C 95*100  [0964]</t>
  </si>
  <si>
    <t>KATIFA C 90*100</t>
  </si>
  <si>
    <t>KATIFA MQT 2.00*100  [1273]</t>
  </si>
  <si>
    <t>KATIFA C 105*100</t>
  </si>
  <si>
    <t>KOBA MSQ 0.62*100</t>
  </si>
  <si>
    <t>KOBA MSQ 1.25*100</t>
  </si>
  <si>
    <t>MAJD MSQ 0.62*100</t>
  </si>
  <si>
    <t>MIRAGE C1.25*100           A</t>
  </si>
  <si>
    <t>TADJ-C100X100</t>
  </si>
  <si>
    <t>TADJ-C90X100</t>
  </si>
  <si>
    <t>TAGHIT MQT4.20*100</t>
  </si>
  <si>
    <t>TAGHIT MSQ 1.25*100</t>
  </si>
  <si>
    <t>TAGHIT MQT 2.10*100  [0082]       A</t>
  </si>
  <si>
    <t>RELAX C 105*100  [0555]        A</t>
  </si>
  <si>
    <t>RELAX C 1.20*100</t>
  </si>
  <si>
    <t>RELAX C 1.50*100</t>
  </si>
  <si>
    <t>EL JAMEL MSQ 0.62*100</t>
  </si>
  <si>
    <t>FETH RLX 1.05*100</t>
  </si>
  <si>
    <t>FETH MSQ 0.45*100</t>
  </si>
  <si>
    <t>FETH MSQ 0.62*100</t>
  </si>
  <si>
    <t>FREESIA MSQ 0.60*100</t>
  </si>
  <si>
    <t>HIDAYA MSQ 0.45*100</t>
  </si>
  <si>
    <t>KATIFA MSQ 2.00*100</t>
  </si>
  <si>
    <t>ALASKA MQT 2.10*100           B</t>
  </si>
  <si>
    <t>FETH C 90*100</t>
  </si>
  <si>
    <t>MATRIX C 100X100</t>
  </si>
  <si>
    <t>MATRIX C 90*100</t>
  </si>
  <si>
    <t>RELAX C 90*100           A</t>
  </si>
  <si>
    <t>ANOUAR C 120X2500</t>
  </si>
  <si>
    <t>COZY MQT- RLX 2.10*100</t>
  </si>
  <si>
    <t>DALLAS S 60*120     [0238]       A</t>
  </si>
  <si>
    <t>AL SAFWA MSQ 1.33*0.67</t>
  </si>
  <si>
    <t>MIRAGE RLX 4.20*100           A</t>
  </si>
  <si>
    <t>AROSA-T200X275</t>
  </si>
  <si>
    <t>PELUCHE T 200*280  [1376]           B</t>
  </si>
  <si>
    <t>DALLAS T 160*210</t>
  </si>
  <si>
    <t>DOUAA MSQ 0.66*100</t>
  </si>
  <si>
    <t>DOUAA MSQ 1.33*100</t>
  </si>
  <si>
    <t>DOUAA MSQ 1.33*25</t>
  </si>
  <si>
    <t>MIRAGE MQT 2.10*100  [0432]           A</t>
  </si>
  <si>
    <t>ALMERIA T 200*260</t>
  </si>
  <si>
    <t>DALLAS T 100*150</t>
  </si>
  <si>
    <t>DALLAS S 130*270</t>
  </si>
  <si>
    <t>DJAWED MSQ 1.33*100</t>
  </si>
  <si>
    <t>DALLAS S 130*160</t>
  </si>
  <si>
    <t>ALMERIA C 100*2500</t>
  </si>
  <si>
    <t>ALMERIA C 120*2500  [0055]</t>
  </si>
  <si>
    <t>ALMERIA DL 50*200  [0989]</t>
  </si>
  <si>
    <t>ALMERIA T 160*210  [0995]</t>
  </si>
  <si>
    <t>MATRIX T 160*220  [0371]        A</t>
  </si>
  <si>
    <t>ALMERIA S 100*250</t>
  </si>
  <si>
    <t>ALMERIA C 100*280</t>
  </si>
  <si>
    <t>ALMERIA C 100*370  [0986]</t>
  </si>
  <si>
    <t>ALMERIA C 100*470</t>
  </si>
  <si>
    <t>ALMERIA SB 60*120           B</t>
  </si>
  <si>
    <t>SAMARA T 200*280  [1688]</t>
  </si>
  <si>
    <t>EL NADA T 200X280</t>
  </si>
  <si>
    <t>DJAWED MSQ 0.66*100</t>
  </si>
  <si>
    <t>EL ANFAL MSQ 0.62*100</t>
  </si>
  <si>
    <t>EL ANFAL MSQ 1.25*100</t>
  </si>
  <si>
    <t>EL ISRAA MSQ 0.62*100</t>
  </si>
  <si>
    <t>ISTANBUL-SO180X130</t>
  </si>
  <si>
    <t>IZMIR-SO180X130</t>
  </si>
  <si>
    <t>YIKANABILIR T 180*280</t>
  </si>
  <si>
    <t>ISTANBUL-S220X220</t>
  </si>
  <si>
    <t>MILANO T 160*220  [0378]           B</t>
  </si>
  <si>
    <t>TAGHIT-T210X270</t>
  </si>
  <si>
    <t>PLUME S 150*340  [1382]           B</t>
  </si>
  <si>
    <t>FOCUS DL 70*100</t>
  </si>
  <si>
    <t>PLUME DL 70*100           B</t>
  </si>
  <si>
    <t>MALYSIA DL 70*100</t>
  </si>
  <si>
    <t>MATRIX DL 70*100           A</t>
  </si>
  <si>
    <t>MALAYSIA C 100*280</t>
  </si>
  <si>
    <t>PLUME C 100*280           B</t>
  </si>
  <si>
    <t>FOCUS C 100*280</t>
  </si>
  <si>
    <t>FOCUS T 200*140</t>
  </si>
  <si>
    <t>MALAYSIA T 200*140</t>
  </si>
  <si>
    <t>PLUME T 200*140           B</t>
  </si>
  <si>
    <t>MATRIX T 200*140           A</t>
  </si>
  <si>
    <t>ISTANBUL DL 60*220           A</t>
  </si>
  <si>
    <t>AL FALAH MSQ 1.25*20  (981)</t>
  </si>
  <si>
    <t>AL FALAH MSQ 1.25*25  (980)</t>
  </si>
  <si>
    <t>IZMIR-T160X230</t>
  </si>
  <si>
    <t>IZMIR-T200X280</t>
  </si>
  <si>
    <t>IZMIR-S100X250</t>
  </si>
  <si>
    <t>TAGHIT C 84*100  [0837]      A</t>
  </si>
  <si>
    <t>IZMIR C 100*300           B</t>
  </si>
  <si>
    <t>FESTIVAL-T200X280</t>
  </si>
  <si>
    <t>SOJOUD MSQ 1.33*20</t>
  </si>
  <si>
    <t>SOJOUD MSQ 1.33*25</t>
  </si>
  <si>
    <t>ALMERIA T 160*230           B</t>
  </si>
  <si>
    <t>ALMERIA T 260*370  [1067]           B</t>
  </si>
  <si>
    <t>SOJOUD MSQ 1.33*100</t>
  </si>
  <si>
    <t>RELAX-DO60X200</t>
  </si>
  <si>
    <t>AL ABRAR MSQ 125*0.67</t>
  </si>
  <si>
    <t>AL BAHAA T 1.33*0.67</t>
  </si>
  <si>
    <t>AL FAROUK T 1.25*0.67</t>
  </si>
  <si>
    <t>AL HARAMEIN T 1.33*0.67</t>
  </si>
  <si>
    <t>AL MANARA T 1.25*0.67</t>
  </si>
  <si>
    <t>AL MAROUA T 1.25*0.67</t>
  </si>
  <si>
    <t>AL WISSAM T 1.33*0.67</t>
  </si>
  <si>
    <t>ENNADJAH T 1.33*0.67</t>
  </si>
  <si>
    <t>IBTIHAL T 1.33*0.67</t>
  </si>
  <si>
    <t>ALMERIA S 130*285           B</t>
  </si>
  <si>
    <t>ALMERIA S 175*285           B</t>
  </si>
  <si>
    <t>SOJOUD MSQ 0.66*100</t>
  </si>
  <si>
    <t>ISTANBUL T 160*220     [1064]        A</t>
  </si>
  <si>
    <t>DJAWED MSQ 1.33*20</t>
  </si>
  <si>
    <t>TAGHIT T 180*270</t>
  </si>
  <si>
    <t>MATRIX-T200X260</t>
  </si>
  <si>
    <t>RELAX C 100*100     [1395]</t>
  </si>
  <si>
    <t>AL SAFWA MSQ 1.33*2</t>
  </si>
  <si>
    <t>DJAWED MSQ 1.33*0.67</t>
  </si>
  <si>
    <t>ALMERIA S 60*210  [1576]           B</t>
  </si>
  <si>
    <t>ALMERIA-C100X300</t>
  </si>
  <si>
    <t>ALMERIA C 100*400  [1685]           B</t>
  </si>
  <si>
    <t>ALMERIA C 100*500  [1686]           B</t>
  </si>
  <si>
    <t>VALENCIA C 80X300        B</t>
  </si>
  <si>
    <t>VALENCIA C 80*400     [0902]</t>
  </si>
  <si>
    <t>VALENCIA C 80*500     [0903]</t>
  </si>
  <si>
    <t>MATRIX-DL60X200</t>
  </si>
  <si>
    <t>MATRIX-S120X250</t>
  </si>
  <si>
    <t>MATRIX-T160X210</t>
  </si>
  <si>
    <t>DJAWED DL 75X120</t>
  </si>
  <si>
    <t>MELISSA-T210X280</t>
  </si>
  <si>
    <t>AL MANARA MSQ 1.25*0.67</t>
  </si>
  <si>
    <t>AL REDOUANE MSQ 1.33*20  [1004]</t>
  </si>
  <si>
    <t>AL REDOUANE MSQ 1.33*25</t>
  </si>
  <si>
    <t>MARMARA-T200X280</t>
  </si>
  <si>
    <t>MONACO-S220X220</t>
  </si>
  <si>
    <t>MONACO-T200X280</t>
  </si>
  <si>
    <t>ALMERIA T 240*400  [1677]           B</t>
  </si>
  <si>
    <t>ANOUAR S 60*210  [1578]</t>
  </si>
  <si>
    <t>TAPIS SALAYA ECHANTILLON</t>
  </si>
  <si>
    <t>MIAMI S 180*130           A</t>
  </si>
  <si>
    <t>MIRAGE S 60*210     [1584]         A</t>
  </si>
  <si>
    <t>AL FADL MSQ 0.62*100</t>
  </si>
  <si>
    <t>MATRIX T 120*150  [1534]</t>
  </si>
  <si>
    <t>MIAMI-S220X220</t>
  </si>
  <si>
    <t>MIAMI-T200X280</t>
  </si>
  <si>
    <t>OPERA E 100*282  [1358]           B</t>
  </si>
  <si>
    <t>ALMERIA MQT 420*20</t>
  </si>
  <si>
    <t>ADANA-T200X280</t>
  </si>
  <si>
    <t>MATRIX DL 65*100  [0351]           A</t>
  </si>
  <si>
    <t>MONACO-DL60X220</t>
  </si>
  <si>
    <t>PELUCHE DL 60*220           B</t>
  </si>
  <si>
    <t>TRABZON-T200X280</t>
  </si>
  <si>
    <t>MONACO-T160X220</t>
  </si>
  <si>
    <t>TADJ-CC200X185</t>
  </si>
  <si>
    <t>MATRIX DL 60*110           A</t>
  </si>
  <si>
    <t>BOSPHOR-T200X280</t>
  </si>
  <si>
    <t>IZMIR T 250X400</t>
  </si>
  <si>
    <t>IZMIR DO 60*200           B</t>
  </si>
  <si>
    <t>IZMIR DO 65*200           B</t>
  </si>
  <si>
    <t>TADJ DL 60X200                A</t>
  </si>
  <si>
    <t>VALENCIA-DO60X200</t>
  </si>
  <si>
    <t>VALENCIA T 200*260  [0927]</t>
  </si>
  <si>
    <t>AYDIN T 200*280</t>
  </si>
  <si>
    <t>HADIKA T 200*280</t>
  </si>
  <si>
    <t>PELUCHE T 160*230           B</t>
  </si>
  <si>
    <t>AL AMIR MSQ 125*0.67</t>
  </si>
  <si>
    <t>AL NAJM MSQ 125*0.67</t>
  </si>
  <si>
    <t>ALMASSE T 105*100  [1698]</t>
  </si>
  <si>
    <t>ANOUAR-T160X210</t>
  </si>
  <si>
    <t>IZMIR T 200*260  [1690]</t>
  </si>
  <si>
    <t>ANOUAR-C100X280</t>
  </si>
  <si>
    <t>ANOUAR-C100X370</t>
  </si>
  <si>
    <t>ANOUAR-C100X470</t>
  </si>
  <si>
    <t>ANOUAR T 200*260  [1744]</t>
  </si>
  <si>
    <t>ALMERIA P 45*62  [1759]           B</t>
  </si>
  <si>
    <t>ANOUAR S 120*250  [1746]</t>
  </si>
  <si>
    <t>VALENCIA T 160*210  [1540]</t>
  </si>
  <si>
    <t>IZMIR-T160X210</t>
  </si>
  <si>
    <t>IZMIR-C100X280</t>
  </si>
  <si>
    <t>IZMIR-C100X370</t>
  </si>
  <si>
    <t>IZMIR-C100X470</t>
  </si>
  <si>
    <t>ALMASSE T 200*280  [1697]</t>
  </si>
  <si>
    <t>VALENCIA DL 60*220</t>
  </si>
  <si>
    <t>IZMIR SO 100X250</t>
  </si>
  <si>
    <t>IZMIR-S120X250</t>
  </si>
  <si>
    <t>FREESIA C 1.25*19M</t>
  </si>
  <si>
    <t>FREESIA C 1.25*100</t>
  </si>
  <si>
    <t>PELUCHE S 180*130  [1372]           B</t>
  </si>
  <si>
    <t>VALENCIA-DL60X200</t>
  </si>
  <si>
    <t>KONYA-T200X280</t>
  </si>
  <si>
    <t>SUNRISE-T200X275</t>
  </si>
  <si>
    <t>MATRIX R 80*80           A</t>
  </si>
  <si>
    <t>IZMIR DL 60*220           B</t>
  </si>
  <si>
    <t>ANOUAR C 120*100</t>
  </si>
  <si>
    <t>SUNRISE-T200X150</t>
  </si>
  <si>
    <t>SUNRISE-T250X400</t>
  </si>
  <si>
    <t>SUNRISE-T160X230</t>
  </si>
  <si>
    <t>NAWAFIL T 66X110</t>
  </si>
  <si>
    <t>BOSPHOR-E120X250</t>
  </si>
  <si>
    <t>BOSPHOR-T160X210</t>
  </si>
  <si>
    <t>RELAX C 120*100           A</t>
  </si>
  <si>
    <t>BOSPHOR-T200X260</t>
  </si>
  <si>
    <t>TAGHIT P 125*45</t>
  </si>
  <si>
    <t>IZMIR T 120*150</t>
  </si>
  <si>
    <t>SUNRISE C 90*300     [1969]         A</t>
  </si>
  <si>
    <t>SUNRISE C 90*400     [1974]        A</t>
  </si>
  <si>
    <t>SUNRISE-S200X220</t>
  </si>
  <si>
    <t>ANOUAR C 105*100</t>
  </si>
  <si>
    <t>ENNADJAH MSQ 1.33*0.70</t>
  </si>
  <si>
    <t>MIRAGE T 160*220     [1221]</t>
  </si>
  <si>
    <t>DHALIA-T210X280</t>
  </si>
  <si>
    <t>TAGHIT P 45*62  [0845]</t>
  </si>
  <si>
    <t>TORINO-T210X280</t>
  </si>
  <si>
    <t>SAMAR-T210X280</t>
  </si>
  <si>
    <t>ELEGENCIA - PESCARA T 210X280</t>
  </si>
  <si>
    <t>BOSPHOR T 120*150</t>
  </si>
  <si>
    <t>ENNADJAH MQ 100*100</t>
  </si>
  <si>
    <t>MARMARA-E120X250</t>
  </si>
  <si>
    <t>MARMARA-T160X210</t>
  </si>
  <si>
    <t>MELISSA DL 60*220     [1904]         A</t>
  </si>
  <si>
    <t>ANOUAR P 60*52</t>
  </si>
  <si>
    <t>SOJOUD MSQ 133*1</t>
  </si>
  <si>
    <t>TADJ T 100*150  [0779]    A</t>
  </si>
  <si>
    <t>MARMARA-T200X260</t>
  </si>
  <si>
    <t>CASA-T200X150</t>
  </si>
  <si>
    <t>TAGHIT C 105*100   [0825]</t>
  </si>
  <si>
    <t>OPERA-T165X230</t>
  </si>
  <si>
    <t>SUNRISE C 90*500     [1970]       A</t>
  </si>
  <si>
    <t>TADJ-T165X230</t>
  </si>
  <si>
    <t>ALMERIA T 130*175  [0994]   B</t>
  </si>
  <si>
    <t>ANOUAR T 120*150  [1747]</t>
  </si>
  <si>
    <t>IZMIR O 100*60     [1869]</t>
  </si>
  <si>
    <t>IZMIR-O100X130</t>
  </si>
  <si>
    <t>MARMARA-T120X150</t>
  </si>
  <si>
    <t>MATRIX S 180*130  [0364]    A</t>
  </si>
  <si>
    <t>TADJ T 250X500          A</t>
  </si>
  <si>
    <t>IZMIR-S220X220</t>
  </si>
  <si>
    <t>MIRAGE T 80*130</t>
  </si>
  <si>
    <t>MIRAGE O 100*65</t>
  </si>
  <si>
    <t>DOUAA T 200*400</t>
  </si>
  <si>
    <t>MARMARA-SO180X130</t>
  </si>
  <si>
    <t>MARMARA-S220X220</t>
  </si>
  <si>
    <t>RELAX-T60X110</t>
  </si>
  <si>
    <t>VALENCIA-T60X110</t>
  </si>
  <si>
    <t>CELIA SO 180*130</t>
  </si>
  <si>
    <t>MARMARA-T160X220</t>
  </si>
  <si>
    <t>MELISSA T 150*220</t>
  </si>
  <si>
    <t>OLYMPIA-O80X130</t>
  </si>
  <si>
    <t>PLUME-T60X110</t>
  </si>
  <si>
    <t>MARMARA-T60X100</t>
  </si>
  <si>
    <t>TADJ-T300X400</t>
  </si>
  <si>
    <t>VALENCIA-O80X130</t>
  </si>
  <si>
    <t>AL REDOUANE MSQ 1.33*100</t>
  </si>
  <si>
    <t>AL HARAMEIN T 100*100</t>
  </si>
  <si>
    <t>AL MAROUA T 125*125</t>
  </si>
  <si>
    <t>AL WISSAM T 100*100</t>
  </si>
  <si>
    <t>IBTIHAL T 100*100</t>
  </si>
  <si>
    <t>MIRAGE T 60X110                A</t>
  </si>
  <si>
    <t>VALENCIA-T180X270</t>
  </si>
  <si>
    <t>AL BAHAA T 100*100</t>
  </si>
  <si>
    <t>AL FAROUK T 1.25*1.25</t>
  </si>
  <si>
    <t>AL ISLAM T 1.25*0.67</t>
  </si>
  <si>
    <t>AL ISLAM T 1.25*1.25</t>
  </si>
  <si>
    <t>AL NAJM T 1.25*1.25</t>
  </si>
  <si>
    <t>SUNRISE T 250*580     [2069]     A</t>
  </si>
  <si>
    <t>SUNRISE O 200X150            B</t>
  </si>
  <si>
    <t>CELIA-T160X220</t>
  </si>
  <si>
    <t>DJANET T 180X270</t>
  </si>
  <si>
    <t>ISTANBUL T 100*100</t>
  </si>
  <si>
    <t>ISTANBUL O 100*65</t>
  </si>
  <si>
    <t>ISTANBUL T 120*180     [2074]          A</t>
  </si>
  <si>
    <t>IZMIR-T80X130</t>
  </si>
  <si>
    <t>TIMGAD-T210X270*AB</t>
  </si>
  <si>
    <t>VERONE-T200X280</t>
  </si>
  <si>
    <t>ISTANBUL T 120*150</t>
  </si>
  <si>
    <t>CELIA T 180*270</t>
  </si>
  <si>
    <t>TADJ T 320*400              A</t>
  </si>
  <si>
    <t>TAGHIT O 65*100</t>
  </si>
  <si>
    <t>TAGHIT-O80X130</t>
  </si>
  <si>
    <t>VALENCIA DL 75*240</t>
  </si>
  <si>
    <t>HORIZON T 200*280     [2196]</t>
  </si>
  <si>
    <t>IZMIR T 160X220</t>
  </si>
  <si>
    <t>TADJ T 310X400                 A</t>
  </si>
  <si>
    <t>HAMSTER-T200X280</t>
  </si>
  <si>
    <t>IZMIR-T60X110</t>
  </si>
  <si>
    <t>MARMARA O 65X100               A</t>
  </si>
  <si>
    <t>MARMARA O 80X130               A</t>
  </si>
  <si>
    <t>PLUME T 80*130</t>
  </si>
  <si>
    <t>VERONE-S220X220</t>
  </si>
  <si>
    <t>MIRAGE C 125*3000          [1299]</t>
  </si>
  <si>
    <t>TADJ T 65*110               A</t>
  </si>
  <si>
    <t>TAGHIT C 84*2500          [0839]</t>
  </si>
  <si>
    <t>VALENCIA-T80X130</t>
  </si>
  <si>
    <t>DJANET-T210X270</t>
  </si>
  <si>
    <t>TAPIS ECHANTILLION -WARDA</t>
  </si>
  <si>
    <t>BAHAR-T200X280</t>
  </si>
  <si>
    <t>IZMIR T 100*150</t>
  </si>
  <si>
    <t>MALAGA T 50*40     [2177]</t>
  </si>
  <si>
    <t>MALAGA-T200X280</t>
  </si>
  <si>
    <t>MEXICO-T210X280</t>
  </si>
  <si>
    <t>OPERA C 100*20    [0487]</t>
  </si>
  <si>
    <t>RELAX-T60X150</t>
  </si>
  <si>
    <t>VERONE-T210X280*AB</t>
  </si>
  <si>
    <t>MALAGA T 50*28     [2168]</t>
  </si>
  <si>
    <t>SUNRISE-T165X230</t>
  </si>
  <si>
    <t>AL ISLAH MSQ 125*20</t>
  </si>
  <si>
    <t>MARMARA T 60X110          A</t>
  </si>
  <si>
    <t>VERONE DL 60*220     [2015]</t>
  </si>
  <si>
    <t>OLYMPIA-T80X130</t>
  </si>
  <si>
    <t>TADJ-O125X170</t>
  </si>
  <si>
    <t>GENOUA-T210X280</t>
  </si>
  <si>
    <t>MALAGA T 40*60     [2187]</t>
  </si>
  <si>
    <t>CASA T 80*130     [1215]</t>
  </si>
  <si>
    <t>MIRAGE E 130*285     [1218]</t>
  </si>
  <si>
    <t>MIRAGE S 65*200     [1220]</t>
  </si>
  <si>
    <t>TAGHIT-C84X300</t>
  </si>
  <si>
    <t>IZMIR C 80*300     [2168]</t>
  </si>
  <si>
    <t>IZMIR C 80*400     [2200]</t>
  </si>
  <si>
    <t>IZMIR C 80*500     [1670]</t>
  </si>
  <si>
    <t>PESCARA T 200*280     [2013]</t>
  </si>
  <si>
    <t>PESCARA-S220X220</t>
  </si>
  <si>
    <t>IZMIR T 60*100     [1909]</t>
  </si>
  <si>
    <t>SHIRAZ-T165X230</t>
  </si>
  <si>
    <t>SUNRISE T 320*400     [1369]</t>
  </si>
  <si>
    <t>VICTORIA-T210X270</t>
  </si>
  <si>
    <t>TAGHIT T 100*100     [1498]</t>
  </si>
  <si>
    <t>IZMIR-O60X100</t>
  </si>
  <si>
    <t>MALAGA C 100*400</t>
  </si>
  <si>
    <t>PESCARA T 160*220     [2011]</t>
  </si>
  <si>
    <t>VICTORIA-E135X267</t>
  </si>
  <si>
    <t>VICTORIA-T135X170</t>
  </si>
  <si>
    <t>MIRAGE-T65X110</t>
  </si>
  <si>
    <t>PESCARA T 105*100</t>
  </si>
  <si>
    <t>ANOUAR T 105*100</t>
  </si>
  <si>
    <t>MIRAGE T 105*100</t>
  </si>
  <si>
    <t>TORINO T 105*100</t>
  </si>
  <si>
    <t>MIRAGE-E130X277</t>
  </si>
  <si>
    <t>MIRAGE-T130X175</t>
  </si>
  <si>
    <t>MIRAGE T 230X360                       A</t>
  </si>
  <si>
    <t>AUSTRALIA-S220X220</t>
  </si>
  <si>
    <t>EL NADA T 200X275</t>
  </si>
  <si>
    <t>MALAGA T 160*230     [1426]</t>
  </si>
  <si>
    <t>AL HILAL T 125*67</t>
  </si>
  <si>
    <t>AL MANARA T 125*125</t>
  </si>
  <si>
    <t>DIMASHK MQT 100*100</t>
  </si>
  <si>
    <t>IZMIR-R120X120</t>
  </si>
  <si>
    <t>MALAGA R 120*120     [1431]</t>
  </si>
  <si>
    <t>MALAGA R 150*150     [1222]</t>
  </si>
  <si>
    <t>AL MAROUA MSQ 125*100</t>
  </si>
  <si>
    <t>IZMIR O 150*220     [2091]</t>
  </si>
  <si>
    <t>IZMIR-R150X150</t>
  </si>
  <si>
    <t>MALAGA O 150*220     [1223]</t>
  </si>
  <si>
    <t>TAGHIT-DL60X200</t>
  </si>
  <si>
    <t>SOJOUD T 133*67</t>
  </si>
  <si>
    <t>BAHAR T 100*100</t>
  </si>
  <si>
    <t>IZMIR T 60*40     [2207]</t>
  </si>
  <si>
    <t>OPERA-C100X100</t>
  </si>
  <si>
    <t>TAGHIT T 105*100</t>
  </si>
  <si>
    <t>AL ISLAM MSQ 1.25*20</t>
  </si>
  <si>
    <t>CASA T 135X170</t>
  </si>
  <si>
    <t>CASA E 135X267</t>
  </si>
  <si>
    <t>AZALEA-SO180X130</t>
  </si>
  <si>
    <t>AL ISLAH T 105*100</t>
  </si>
  <si>
    <t>ANOUAR MQ 100*100</t>
  </si>
  <si>
    <t>AZALEA-S220X220</t>
  </si>
  <si>
    <t>CASA T 65X100</t>
  </si>
  <si>
    <t>ENNADJAH T 133*2</t>
  </si>
  <si>
    <t>HAZAR-T200X280</t>
  </si>
  <si>
    <t>RELAX T 105*100</t>
  </si>
  <si>
    <t>TAGHIT C 120X3000      A+B</t>
  </si>
  <si>
    <t>TAGHIT-T150X115</t>
  </si>
  <si>
    <t>AL ISLMA T 125*200</t>
  </si>
  <si>
    <t>AL SAFWA MSQ 133*0.50</t>
  </si>
  <si>
    <t>BAHAR T 160X230</t>
  </si>
  <si>
    <t>TAGHIT C 120*100     [2170]</t>
  </si>
  <si>
    <t>ADALAR-T210X280</t>
  </si>
  <si>
    <t>RELAX-T120X170</t>
  </si>
  <si>
    <t>AL ABRAR MSQ 0.62*100</t>
  </si>
  <si>
    <t>AL ABRAR MSQ 1.25*100</t>
  </si>
  <si>
    <t>AL ABRAR MSQ 1.25*20</t>
  </si>
  <si>
    <t>AL ISLAM MSQ 1.25*0.50</t>
  </si>
  <si>
    <t>DIMASHK T 200*280     [1788]</t>
  </si>
  <si>
    <t>MARMARA-E130X262</t>
  </si>
  <si>
    <t>MARMARA T 130X160                A</t>
  </si>
  <si>
    <t>MARMARA T 210X160              A</t>
  </si>
  <si>
    <t>RELAX C 100*20     [1396]</t>
  </si>
  <si>
    <t>TAGHIT P 60*45     [1758]</t>
  </si>
  <si>
    <t>TULIPE C 100X500</t>
  </si>
  <si>
    <t>MARMARA T 150X220               A</t>
  </si>
  <si>
    <t>MIRAGE O 130*170</t>
  </si>
  <si>
    <t>AL ISLAM MSQ 1.25*100</t>
  </si>
  <si>
    <t>AL ISLAM 0.62*100</t>
  </si>
  <si>
    <t>AL FAROUK MSQ 1.25*100</t>
  </si>
  <si>
    <t>UNIVERLSEL T 150*220</t>
  </si>
  <si>
    <t>MILANO-T210X280</t>
  </si>
  <si>
    <t>BAHAR MQT 200*20 M</t>
  </si>
  <si>
    <t>BAHAR T 60*100     [0806]</t>
  </si>
  <si>
    <t>FESTIVAL-T210X280</t>
  </si>
  <si>
    <t>HOGGAR T 200*280     [0857]</t>
  </si>
  <si>
    <t>TADJ 80*100              A</t>
  </si>
  <si>
    <t>OPERA C 100*300     [0488]</t>
  </si>
  <si>
    <t>OPERA C 100*400     [0489]</t>
  </si>
  <si>
    <t>OPERA-C100X500</t>
  </si>
  <si>
    <t>AL FAROUK MSQ 1.25*25</t>
  </si>
  <si>
    <t>FETH MSQ 1.25*2.40</t>
  </si>
  <si>
    <t>DJAWED-T340X340</t>
  </si>
  <si>
    <t>DJAWED MSQ 2.50*100</t>
  </si>
  <si>
    <t>AL FAKHER MSQ 0.62*100</t>
  </si>
  <si>
    <t>FREESIA MSQ 1.25*100</t>
  </si>
  <si>
    <t>HIDAYA MSQ 0.62*20</t>
  </si>
  <si>
    <t>AL JAMEL MQT 100*100</t>
  </si>
  <si>
    <t>SWEETY C 100*400</t>
  </si>
  <si>
    <t>SWEETY MQT 2.00*100</t>
  </si>
  <si>
    <t>AL JAMEL  MQT 3.80*100</t>
  </si>
  <si>
    <t>AL JAMEL C 100*100</t>
  </si>
  <si>
    <t>ATLANTIC T 160*200</t>
  </si>
  <si>
    <t>UNIVERSEL DL 60*110</t>
  </si>
  <si>
    <t>AL NASR 133*220</t>
  </si>
  <si>
    <t>AL WAFAA 125*0.67</t>
  </si>
  <si>
    <t>SOJOUD 100*100</t>
  </si>
  <si>
    <t>MANARA 125*0.67</t>
  </si>
  <si>
    <t>AMIR 125*125</t>
  </si>
  <si>
    <t>TAGHIT 133*0.67</t>
  </si>
  <si>
    <t>AL WAFAA 286*254</t>
  </si>
  <si>
    <t>AL WAFAA 326*320</t>
  </si>
  <si>
    <t>RELAX-E120X250</t>
  </si>
  <si>
    <t>RELAX S 60*370</t>
  </si>
  <si>
    <t>RELAX T 60*100</t>
  </si>
  <si>
    <t>RELAX T 180*270</t>
  </si>
  <si>
    <t>AZALEA-T200X260</t>
  </si>
  <si>
    <t>GUZEL T 200*280     [0883]</t>
  </si>
  <si>
    <t>RELAX DL 60*220</t>
  </si>
  <si>
    <t>RELAX-T60X100</t>
  </si>
  <si>
    <t>MATRIX-T240X400*AB</t>
  </si>
  <si>
    <t>RELAX-T120X150</t>
  </si>
  <si>
    <t>AL INSAF T 1.33*0.67</t>
  </si>
  <si>
    <t>AL WIFAK T 1.33*0.67</t>
  </si>
  <si>
    <t>EL FOURAT T 1.33*0.67</t>
  </si>
  <si>
    <t>MALAGA T 60*110     [1011]</t>
  </si>
  <si>
    <t>ARIZONA-T200X280</t>
  </si>
  <si>
    <t>AL ISLAH T 1.25*0.67</t>
  </si>
  <si>
    <t>BOSTON-T200X280</t>
  </si>
  <si>
    <t>IBTIHAL MSQ 1.33*200</t>
  </si>
  <si>
    <t>ENNADJAH MSQ 1.33*20     [1716]</t>
  </si>
  <si>
    <t>ENNADJAH MSQ 1.33*25     [1716]</t>
  </si>
  <si>
    <t>NIBRAS MSQ 1.33*0.67     [1167]</t>
  </si>
  <si>
    <t>MARMARA-T200X150</t>
  </si>
  <si>
    <t>IZMIR-O65X100</t>
  </si>
  <si>
    <t>IZMIR-O120X170</t>
  </si>
  <si>
    <t>AL FAROUK MSQ 0.62*100</t>
  </si>
  <si>
    <t>IBTIHAL MSQ 1.33*1</t>
  </si>
  <si>
    <t>MATRIX-C80X300</t>
  </si>
  <si>
    <t>MATRIX-C80X400</t>
  </si>
  <si>
    <t>MATRIX-C80X500</t>
  </si>
  <si>
    <t>MATRIX T 165*230     [1189]</t>
  </si>
  <si>
    <t>AL ISLAM MSQ 1.25*25</t>
  </si>
  <si>
    <t>AL WISSAM MS 1.33*25</t>
  </si>
  <si>
    <t>AL WISSAM MS 1.33*100</t>
  </si>
  <si>
    <t>MARMARA-T50X60</t>
  </si>
  <si>
    <t>AL FAROUK T 40*60     [0652]</t>
  </si>
  <si>
    <t>AL AMIR MSQ 1.25*20     [1706]</t>
  </si>
  <si>
    <t>NIBRAS MSQ 1.33*100     [1167]</t>
  </si>
  <si>
    <t>NIBRAS MSQ 1.33*15     [1167]</t>
  </si>
  <si>
    <t>NIBRAS MSQ 1.33*20     [1167]</t>
  </si>
  <si>
    <t>WIDAD T 1.33*0.67</t>
  </si>
  <si>
    <t>SUNRISE T 250*680     [2073]</t>
  </si>
  <si>
    <t>ILEF T 1.33*0.67</t>
  </si>
  <si>
    <t>NIBRAS T 1.33*0.67</t>
  </si>
  <si>
    <t>AL ISLAM CONFORT MSQ 1.25*100     [1762]</t>
  </si>
  <si>
    <t>SUNRISE-T300X400</t>
  </si>
  <si>
    <t>SUNRISE-T250X500*A</t>
  </si>
  <si>
    <t>CASA-O200X150</t>
  </si>
  <si>
    <t>AL ABRAR MSQ 1.25*25     [1712]</t>
  </si>
  <si>
    <t>OLYMPIA-T160X230</t>
  </si>
  <si>
    <t>AL FAROUK MSQ 1.25*20</t>
  </si>
  <si>
    <t>SUNRISE T 60X110        B</t>
  </si>
  <si>
    <t>OLYMPIA-O65X100</t>
  </si>
  <si>
    <t>VALENCIA-O65X100</t>
  </si>
  <si>
    <t>USHUAIA T 200*260     [1690]</t>
  </si>
  <si>
    <t>TADJ T 82X60                   A</t>
  </si>
  <si>
    <t>MALAGA-SO180X130</t>
  </si>
  <si>
    <t>IZMIR-E120X280</t>
  </si>
  <si>
    <t>IZMIR C 80X2000     [2185]</t>
  </si>
  <si>
    <t>MALAGA C 80X2000</t>
  </si>
  <si>
    <t>OLYMPIA T 60X40                A</t>
  </si>
  <si>
    <t>MARMARA C 80X300                     A</t>
  </si>
  <si>
    <t>MARMARA C 80X400               A</t>
  </si>
  <si>
    <t>MARMARA C 80X500                      A</t>
  </si>
  <si>
    <t>CELIA T 200*280     [1790]</t>
  </si>
  <si>
    <t>ISTANBUL T 160*230     [1717]</t>
  </si>
  <si>
    <t>MALAGA T 180*270     [1784]</t>
  </si>
  <si>
    <t>MELILLA T 200*280     [1789]</t>
  </si>
  <si>
    <t>SAOURA-T210X280</t>
  </si>
  <si>
    <t>SICILE T 200X280</t>
  </si>
  <si>
    <t>THEATRO T 200*280     [1775]</t>
  </si>
  <si>
    <t>AL GHOFRANE-T45X62</t>
  </si>
  <si>
    <t>AL HARAMEIN MSQ 1.33*100</t>
  </si>
  <si>
    <t>AL HARAMEIN MSQ 1.33*25</t>
  </si>
  <si>
    <t>TADJ-C83X300</t>
  </si>
  <si>
    <t>TADJ-C83X400</t>
  </si>
  <si>
    <t>TADJ-C83X500</t>
  </si>
  <si>
    <t>AGHLEN KILIM T 60*90</t>
  </si>
  <si>
    <t>AGHLEN KILIM T 80*120</t>
  </si>
  <si>
    <t>AGHLEN KILIM T 120*180</t>
  </si>
  <si>
    <t>AGHLEN KILIM 80*200</t>
  </si>
  <si>
    <t>AGHLEN KILIM 80*300</t>
  </si>
  <si>
    <t>OCH C 80*200</t>
  </si>
  <si>
    <t>OCH C 80*300</t>
  </si>
  <si>
    <t>OCH C 80*400</t>
  </si>
  <si>
    <t>OCH T 140*215</t>
  </si>
  <si>
    <t>OCH T 160*250</t>
  </si>
  <si>
    <t>OCH T 120*180</t>
  </si>
  <si>
    <t>AGHLEN KILIM T 160*250</t>
  </si>
  <si>
    <t>AGHLEN KILIM T 200*300</t>
  </si>
  <si>
    <t>NIBRAS MSQ 0.66*100</t>
  </si>
  <si>
    <t>KOALA-T200X280</t>
  </si>
  <si>
    <t>VICTORIA T 210X280           B</t>
  </si>
  <si>
    <t>ADALAR-T200X280</t>
  </si>
  <si>
    <t>CASTOR-T200X280</t>
  </si>
  <si>
    <t>TOSCANE-T200X280</t>
  </si>
  <si>
    <t>GLORIA-YILDIZ T 200*280     [1166]</t>
  </si>
  <si>
    <t>AFAK-T125X125</t>
  </si>
  <si>
    <t>OURSON-T200X280</t>
  </si>
  <si>
    <t>ANOUAR T 125*125</t>
  </si>
  <si>
    <t>MARBRE-T200X280</t>
  </si>
  <si>
    <t>YILDIZ T 200*280     [1846]</t>
  </si>
  <si>
    <t>ASSEKREM-T170X230</t>
  </si>
  <si>
    <t>ASSEKREM-T180X270</t>
  </si>
  <si>
    <t>RELAX C 84*500</t>
  </si>
  <si>
    <t>VELOURS T 200*275     [0836]</t>
  </si>
  <si>
    <t>SAOURA-T210X270</t>
  </si>
  <si>
    <t>SHIRAZ-T200X275</t>
  </si>
  <si>
    <t>SYMPHONIE T 200*280     [1379]</t>
  </si>
  <si>
    <t>SHIRAZ-R130X130</t>
  </si>
  <si>
    <t>SHIRAZ-O130X160</t>
  </si>
  <si>
    <t>ISHRAK-T200X150</t>
  </si>
  <si>
    <t>NAILI-T200X280</t>
  </si>
  <si>
    <t>ARENA-T200X280</t>
  </si>
  <si>
    <t>AUSTRALIA-C80X300</t>
  </si>
  <si>
    <t>AUSTRALIA-C80X400</t>
  </si>
  <si>
    <t>AUSTRALIA-C80X500</t>
  </si>
  <si>
    <t>MELODIE T 200*275     [1857]</t>
  </si>
  <si>
    <t>OURSON T 160*230     [1538]</t>
  </si>
  <si>
    <t>RELAX-C90X2000</t>
  </si>
  <si>
    <t>NIBRAS MSQ 1.33*25</t>
  </si>
  <si>
    <t>ISHRAK T 200*367     [1996]</t>
  </si>
  <si>
    <t>TADJ-R200X200</t>
  </si>
  <si>
    <t>TAGHIT-E150X195</t>
  </si>
  <si>
    <t>BODRUM-T200X280</t>
  </si>
  <si>
    <t>KOALA-T160X230</t>
  </si>
  <si>
    <t>LAVANDA-T200X280</t>
  </si>
  <si>
    <t>MIRAGE T 125*175     [1701[</t>
  </si>
  <si>
    <t>PEROUSE T 200*280     [2089]</t>
  </si>
  <si>
    <t>SUNRISE T 250*600     [2078]</t>
  </si>
  <si>
    <t>AROSA-T200X230</t>
  </si>
  <si>
    <t>FOUSSHA T 66*110     [2216]</t>
  </si>
  <si>
    <t>HAZAR-C80X300</t>
  </si>
  <si>
    <t>HAZAR-C80X400</t>
  </si>
  <si>
    <t>HAZAR-C80X500</t>
  </si>
  <si>
    <t>HAZAR T 160*220     [1711]</t>
  </si>
  <si>
    <t>MELODIE-T190X275</t>
  </si>
  <si>
    <t>VICTORIA     C     80*300         [1545]</t>
  </si>
  <si>
    <t>VICTORIA  C   80X400       B</t>
  </si>
  <si>
    <t>VICTORIA   C  80*500       [1548]</t>
  </si>
  <si>
    <t>WAVES  T 200*280    [2220]</t>
  </si>
  <si>
    <t>BAHAR MQT 4.00*20</t>
  </si>
  <si>
    <t>SARAY-T200X280</t>
  </si>
  <si>
    <t>VALENCIA C 90*2500     [0164]</t>
  </si>
  <si>
    <t>BAHAR C 80*2500     [1368]</t>
  </si>
  <si>
    <t>BAHAR-C80X2000</t>
  </si>
  <si>
    <t>ISHRAK C 80*300     [2227]</t>
  </si>
  <si>
    <t>ISHRAK C 80*400     [2228]</t>
  </si>
  <si>
    <t>ISHRAK C 80*500     [2229]</t>
  </si>
  <si>
    <t>IZMIR-T150X220</t>
  </si>
  <si>
    <t>SHIRAZ T 40*60     [2226]</t>
  </si>
  <si>
    <t>ASSEKREM DL 60*220     [0409]</t>
  </si>
  <si>
    <t>ENNADJAH-T40X60</t>
  </si>
  <si>
    <t>ENNADJAH-SPX139X410</t>
  </si>
  <si>
    <t>ENNADJAH-SPX145X270</t>
  </si>
  <si>
    <t>ENNADJAH SPX 150X410</t>
  </si>
  <si>
    <t>ENNADJAH-SPX185X820</t>
  </si>
  <si>
    <t>ENNADJAH-T100X100</t>
  </si>
  <si>
    <t>ISHRAK-O120X170</t>
  </si>
  <si>
    <t>IZMIR-T40X60</t>
  </si>
  <si>
    <t>IZMIR-DL75X240</t>
  </si>
  <si>
    <t>IZMIR-E150X340</t>
  </si>
  <si>
    <t>TADJ-R165X165</t>
  </si>
  <si>
    <t>ARENA TR 40*60     [2261]</t>
  </si>
  <si>
    <t>ENNADJAH-MS124X250</t>
  </si>
  <si>
    <t>ENNADJAH MSQ 1.33*100</t>
  </si>
  <si>
    <t>ENNADJAH-SPX130X390</t>
  </si>
  <si>
    <t>ENNADJAH-T133X260*AB</t>
  </si>
  <si>
    <t>IZMIR SO 100X300</t>
  </si>
  <si>
    <t>IZMIR-T75X120</t>
  </si>
  <si>
    <t>IZMIR T 200*340     [2263]</t>
  </si>
  <si>
    <t>MARBELLA T 200*280     [1786]</t>
  </si>
  <si>
    <t>SUNRISE-T100X150</t>
  </si>
  <si>
    <t>VALENCIA-T75X120</t>
  </si>
  <si>
    <t>VICTORIA-T60X110</t>
  </si>
  <si>
    <t>IZMIR TR 40*60     [2257]</t>
  </si>
  <si>
    <t>MIRAGE C 120*2500     [0400]</t>
  </si>
  <si>
    <t>VALENCIA-S210X230</t>
  </si>
  <si>
    <t>NIBRAS-MSQ133X0</t>
  </si>
  <si>
    <t>AL HARAMEIN-MSQ133X0</t>
  </si>
  <si>
    <t>NIBRAS-MSQ66X0</t>
  </si>
  <si>
    <t>BADR-MSQ125X0</t>
  </si>
  <si>
    <t>AL FADL-MSQ125X0</t>
  </si>
  <si>
    <t>AL WISSAM MSQ 133X0</t>
  </si>
  <si>
    <t>EL JAMEL-MSQ125X0</t>
  </si>
  <si>
    <t>EL JAMEL-MSQ62X0</t>
  </si>
  <si>
    <t>BADR-MSQ62X0</t>
  </si>
  <si>
    <t>EL ISRAA MSQ 62X0</t>
  </si>
  <si>
    <t>EL ISRAA-MSQ125X0</t>
  </si>
  <si>
    <t>FETH-MSQ45X0</t>
  </si>
  <si>
    <t>FETH-MSQ125X0</t>
  </si>
  <si>
    <t>FETH-MSQ62X0</t>
  </si>
  <si>
    <t>TAIBA-MSQ125X0</t>
  </si>
  <si>
    <t>TAIBA-MSQ62X0</t>
  </si>
  <si>
    <t>KOBA-MSQ125X0</t>
  </si>
  <si>
    <t>KOBA-MSQ62X0</t>
  </si>
  <si>
    <t>AL ISLAH MSQ 250X0</t>
  </si>
  <si>
    <t>AL ROKAI-MSQ125X0</t>
  </si>
  <si>
    <t>AL RACHED-MSQ62X0</t>
  </si>
  <si>
    <t>AL RACHED-MSQ125X0</t>
  </si>
  <si>
    <t>TAGHIT-MSQ125X0</t>
  </si>
  <si>
    <t>BAYEN-MSQ125X0</t>
  </si>
  <si>
    <t>DJAWED-MSQ133X0</t>
  </si>
  <si>
    <t>SOJOUD-MSQ133X0</t>
  </si>
  <si>
    <t>AL REDOUANE-MSQ133X0</t>
  </si>
  <si>
    <t>AL FALAH-MSQ125X0</t>
  </si>
  <si>
    <t>ENNADJAH-MSQ133X0</t>
  </si>
  <si>
    <t>AL ISLAM-MSQ125X0</t>
  </si>
  <si>
    <t>AL ISLAM-MSQ62X0</t>
  </si>
  <si>
    <t>AL MAROUA MSQ 125X0</t>
  </si>
  <si>
    <t>AL FAROUK-MSQ125X0</t>
  </si>
  <si>
    <t>AL FAROUK-MSQ62X0</t>
  </si>
  <si>
    <t>AL ABRAR-MSQ125X0</t>
  </si>
  <si>
    <t>AL ABRAR-MSQ62X0</t>
  </si>
  <si>
    <t>AL MANARA MSQ 125X0</t>
  </si>
  <si>
    <t>AL AMIR-MSQ125X0</t>
  </si>
  <si>
    <t>MAJD-MSQ125X0</t>
  </si>
  <si>
    <t>EL MOUNIR MSQ 125X0</t>
  </si>
  <si>
    <t>FREESIA MSQ 120X0</t>
  </si>
  <si>
    <t>EL JAMEL MSQ 140X0</t>
  </si>
  <si>
    <t>BARAKA MSQ 80X0</t>
  </si>
  <si>
    <t>SOJOUD MSQ 125X0</t>
  </si>
  <si>
    <t>ALMERIA-MSQ125X0</t>
  </si>
  <si>
    <t>EL FAKHIR-MSQ125X0</t>
  </si>
  <si>
    <t>GRANADA MSQ 125X0</t>
  </si>
  <si>
    <t>KAWTAHR MSQ 125X0</t>
  </si>
  <si>
    <t>BARAKA-MSQ125X0</t>
  </si>
  <si>
    <t>KATEFA MSQ 200X0</t>
  </si>
  <si>
    <t>AL NAJM MSQ 125X0</t>
  </si>
  <si>
    <t>FREESIA MSQ 125X0</t>
  </si>
  <si>
    <t>RELAX C 105*400</t>
  </si>
  <si>
    <t>BADR-MSQ45X0</t>
  </si>
  <si>
    <t>ASSALA MSQ 125X0</t>
  </si>
  <si>
    <t>BARAKA-MSQ40X0</t>
  </si>
  <si>
    <t>TAGHIT-MSQ45X0</t>
  </si>
  <si>
    <t>FREESIA-MSQ60X0</t>
  </si>
  <si>
    <t>AL REDOUANE MSQ 85X0</t>
  </si>
  <si>
    <t>EL FAKHIR-MSQ62X0</t>
  </si>
  <si>
    <t>MAJD-MSQ62X0</t>
  </si>
  <si>
    <t>FREESIA MSQ 133X0</t>
  </si>
  <si>
    <t>ANDALOUS-MSQ125X0</t>
  </si>
  <si>
    <t>DIAA-MSQ125X0</t>
  </si>
  <si>
    <t>HIDAYA-MSQ125X0</t>
  </si>
  <si>
    <t>IZMIR-SO100X250</t>
  </si>
  <si>
    <t>RELAX T 60X120</t>
  </si>
  <si>
    <t>PLUME-S180X130</t>
  </si>
  <si>
    <t>TADJ-DL66X220</t>
  </si>
  <si>
    <t>OLYMPIA-S180X130</t>
  </si>
  <si>
    <t>TADJ T 60X220                         A</t>
  </si>
  <si>
    <t>IZMIR-S180X130</t>
  </si>
  <si>
    <t>VALENCIA DL 60X220</t>
  </si>
  <si>
    <t>MIRAGE T 200X280</t>
  </si>
  <si>
    <t>ARIDJ DL 60X220</t>
  </si>
  <si>
    <t>MIRAGE C 80X500</t>
  </si>
  <si>
    <t>PLUME DL 60X220</t>
  </si>
  <si>
    <t>MILANO-DL60X220</t>
  </si>
  <si>
    <t>PLATINE T 210X280</t>
  </si>
  <si>
    <t>SUNRISE-T140X220</t>
  </si>
  <si>
    <t>TAGHIT-SO180X130</t>
  </si>
  <si>
    <t>MIRAGE-MQT210X0</t>
  </si>
  <si>
    <t>MIRAGE-MQT420X0</t>
  </si>
  <si>
    <t>TAGHIT-MQT210X0</t>
  </si>
  <si>
    <t>ANOUAR-MQT210X0</t>
  </si>
  <si>
    <t>FETH-MSQ420X0</t>
  </si>
  <si>
    <t>TAGHIT-MQT210X400</t>
  </si>
  <si>
    <t>CARPETTE-T260</t>
  </si>
  <si>
    <t>MATRIX DL 60X220</t>
  </si>
  <si>
    <t>FETH C 120X1200</t>
  </si>
  <si>
    <t>TAGHIT C 105X300</t>
  </si>
  <si>
    <t>MIAMI-DL60X220</t>
  </si>
  <si>
    <t>SUPRA T 150X220</t>
  </si>
  <si>
    <t>MIRAGE C 125X300</t>
  </si>
  <si>
    <t>MARMARA DL 60X200                  A</t>
  </si>
  <si>
    <t>ROMA DL 60X220</t>
  </si>
  <si>
    <t>OLYMPIA DO 60X200</t>
  </si>
  <si>
    <t>ALMERIA C 120X300</t>
  </si>
  <si>
    <t>RAKI T 210X280</t>
  </si>
  <si>
    <t>PLUME-DO60X200</t>
  </si>
  <si>
    <t>OPERA C 100X1400</t>
  </si>
  <si>
    <t>ANOUAR-C105X1300</t>
  </si>
  <si>
    <t>TULIPE C 100X200</t>
  </si>
  <si>
    <t>TAGHIT C 120X600        A+B</t>
  </si>
  <si>
    <t>FETH C 105X400</t>
  </si>
  <si>
    <t>ANOUAR C 120X2100</t>
  </si>
  <si>
    <t>KATEFA C 100X1000</t>
  </si>
  <si>
    <t>TAGHIT T 170X250</t>
  </si>
  <si>
    <t>ZAFRAN DL 60X220</t>
  </si>
  <si>
    <t>ANOUAR C 105X1700</t>
  </si>
  <si>
    <t>EL JAMEL-C100X300</t>
  </si>
  <si>
    <t>TADJ C 100X200          A</t>
  </si>
  <si>
    <t>ANOUAR C 120X1700</t>
  </si>
  <si>
    <t>RELAX-C100X1000</t>
  </si>
  <si>
    <t>FETH-C105X500</t>
  </si>
  <si>
    <t>RELAX-C120X1000</t>
  </si>
  <si>
    <t>KATEFA C 90X1900</t>
  </si>
  <si>
    <t>FETH-C105X1500</t>
  </si>
  <si>
    <t>OPERA-C100X700</t>
  </si>
  <si>
    <t>TADJ-C100X1300</t>
  </si>
  <si>
    <t>ANOUAR C 120X600</t>
  </si>
  <si>
    <t>TADJ-C100X800</t>
  </si>
  <si>
    <t>OPERA C 100X950</t>
  </si>
  <si>
    <t>KATEFA MQT 200X0</t>
  </si>
  <si>
    <t>VALENCIA DO 65X200</t>
  </si>
  <si>
    <t>VICTORIA DO 65X200</t>
  </si>
  <si>
    <t>OLYMPIA DL 60X220</t>
  </si>
  <si>
    <t>MIRAGE C 84X100</t>
  </si>
  <si>
    <t>ARIDJ-T60X110</t>
  </si>
  <si>
    <t>OCEAN DL 60X220</t>
  </si>
  <si>
    <t>ALMERIA T 60X110</t>
  </si>
  <si>
    <t>OLYMPIA O 60X200</t>
  </si>
  <si>
    <t>MALAGA T 60X40</t>
  </si>
  <si>
    <t>VERON T 60X110</t>
  </si>
  <si>
    <t>TULIPE C 100X100</t>
  </si>
  <si>
    <t>ROSA T 60X110</t>
  </si>
  <si>
    <t>COZY T 60X110</t>
  </si>
  <si>
    <t>ATLANTIC DL 60X220</t>
  </si>
  <si>
    <t>SWEETY-BB100X300</t>
  </si>
  <si>
    <t>FETH C 90X300</t>
  </si>
  <si>
    <t>FETH C 90X1900</t>
  </si>
  <si>
    <t>FETH C 105X300</t>
  </si>
  <si>
    <t>FETH C 105X1300</t>
  </si>
  <si>
    <t>FETH C 120X600</t>
  </si>
  <si>
    <t>FETH C 120X2800</t>
  </si>
  <si>
    <t>MATRIX C 100X1600          A</t>
  </si>
  <si>
    <t>MIRAGE C 84X1000</t>
  </si>
  <si>
    <t>TULIPE C 90X700</t>
  </si>
  <si>
    <t>TULIPE C 100X800</t>
  </si>
  <si>
    <t>TULIPE C 100X900</t>
  </si>
  <si>
    <t>BAHAR-T160X220</t>
  </si>
  <si>
    <t>TAGHIT C 90X2000       A+B</t>
  </si>
  <si>
    <t>OURSON-C80X300</t>
  </si>
  <si>
    <t>OURSON-C80X400</t>
  </si>
  <si>
    <t>OURSON C 80X500           A</t>
  </si>
  <si>
    <t>BAHAR-C80X300</t>
  </si>
  <si>
    <t>BAHAR C 80X400</t>
  </si>
  <si>
    <t>BAHAR C 80X500</t>
  </si>
  <si>
    <t>MARMARA C 120X200            A</t>
  </si>
  <si>
    <t>MARMARA T 160X230                  A</t>
  </si>
  <si>
    <t>VICTORIA T 40*60     [0946]</t>
  </si>
  <si>
    <t>TADJ-C83X2000</t>
  </si>
  <si>
    <t>MARBRE MQT 200X0</t>
  </si>
  <si>
    <t>ARENA-T40X60</t>
  </si>
  <si>
    <t>RUBIS-T40X60</t>
  </si>
  <si>
    <t>RUBIS-C90X400</t>
  </si>
  <si>
    <t>RUBIS-R120X120</t>
  </si>
  <si>
    <t>RUBIS-T90X150</t>
  </si>
  <si>
    <t>BAHAR-MQT200X0</t>
  </si>
  <si>
    <t>OLYMPIA O 60*100</t>
  </si>
  <si>
    <t>ZAFRAN-T60X110</t>
  </si>
  <si>
    <t>AUSTRALIA-S210X220*AB</t>
  </si>
  <si>
    <t>IZMIR T 62X40</t>
  </si>
  <si>
    <t>RELAX-SO180X130</t>
  </si>
  <si>
    <t>MATRIX-T60X110</t>
  </si>
  <si>
    <t>PLUME-O65X100</t>
  </si>
  <si>
    <t>ANOUAR T 60X110</t>
  </si>
  <si>
    <t>COZY-T210X280</t>
  </si>
  <si>
    <t>ANOUAR C 125X1600</t>
  </si>
  <si>
    <t>VALENCIA-DL65X200</t>
  </si>
  <si>
    <t>ANOUAR C 120X500</t>
  </si>
  <si>
    <t>FETH-C200X260</t>
  </si>
  <si>
    <t>VALENCIA-O60X3100</t>
  </si>
  <si>
    <t>EL JAMEL-T250X400</t>
  </si>
  <si>
    <t>DJAWED-T250X350</t>
  </si>
  <si>
    <t>MATRIX T 140X220</t>
  </si>
  <si>
    <t>ANOUAR C 120X1385</t>
  </si>
  <si>
    <t>RELAX C 120X1030</t>
  </si>
  <si>
    <t>RELAX C 120X1050</t>
  </si>
  <si>
    <t>TAGHIT C 105X380       A+B</t>
  </si>
  <si>
    <t>FREESIA C 105X400</t>
  </si>
  <si>
    <t>SUPRA C 100X300</t>
  </si>
  <si>
    <t>NOBLE DL 60X220        A+B</t>
  </si>
  <si>
    <t>ROSA O 60X100</t>
  </si>
  <si>
    <t>CELESTE T 60X110</t>
  </si>
  <si>
    <t>RELAX-C150X1900</t>
  </si>
  <si>
    <t>TULIPE DL 60X110</t>
  </si>
  <si>
    <t>TULIPE C 100X700</t>
  </si>
  <si>
    <t>TULIPE C 100X1600</t>
  </si>
  <si>
    <t>RELAX-C84X2500</t>
  </si>
  <si>
    <t>MARBRE T 120X170</t>
  </si>
  <si>
    <t>MARBRE T 160X230</t>
  </si>
  <si>
    <t>MARBRE-T240X340</t>
  </si>
  <si>
    <t>RUBIS-SO120X160</t>
  </si>
  <si>
    <t>SHIRAZ-T150X200</t>
  </si>
  <si>
    <t>TARGUI-T200X280</t>
  </si>
  <si>
    <t>BISSAT-S60X200</t>
  </si>
  <si>
    <t>MARBRE T 40X60</t>
  </si>
  <si>
    <t>RUBIS-S60X200</t>
  </si>
  <si>
    <t>SHIRAZ-C80X300</t>
  </si>
  <si>
    <t>SHIRAZ-C80X400</t>
  </si>
  <si>
    <t>SHIRAZ-C80X500</t>
  </si>
  <si>
    <t>SHIRAZ-SO180X130</t>
  </si>
  <si>
    <t>SHIRAZ-T250X400</t>
  </si>
  <si>
    <t>ALAA T 1.33X0.67</t>
  </si>
  <si>
    <t>EL BASMA T 1.33X0.67</t>
  </si>
  <si>
    <t>IZMIR-O80X130</t>
  </si>
  <si>
    <t>IZMIR-T250X300*A</t>
  </si>
  <si>
    <t>SAJDA T 1.33X0.67</t>
  </si>
  <si>
    <t>IZMIR-T100X130</t>
  </si>
  <si>
    <t>JASMIN-MQT200X0</t>
  </si>
  <si>
    <t>MARMARA C 80X420              A</t>
  </si>
  <si>
    <t>ANAKA R 120X120</t>
  </si>
  <si>
    <t>ANAKA-T60X120</t>
  </si>
  <si>
    <t>BISSAT-S60X170</t>
  </si>
  <si>
    <t>BISSAT-SO120X160</t>
  </si>
  <si>
    <t>MARBRE-C80X300</t>
  </si>
  <si>
    <t>MARBRE-C80X400</t>
  </si>
  <si>
    <t>MARBRE-C80X500</t>
  </si>
  <si>
    <t>MARBRE-T160X220</t>
  </si>
  <si>
    <t>COLZA-MQT400X0</t>
  </si>
  <si>
    <t>MARMARA C 105X400              A</t>
  </si>
  <si>
    <t>MARMARA T 120X170              A</t>
  </si>
  <si>
    <t>TADJ-C90X1000</t>
  </si>
  <si>
    <t>ALPINIA T 40X40</t>
  </si>
  <si>
    <t>ANAKA-S60X170</t>
  </si>
  <si>
    <t>ANAKA S 90X120</t>
  </si>
  <si>
    <t>CANNELLE T 40X40</t>
  </si>
  <si>
    <t>CHENE-MQT100X0</t>
  </si>
  <si>
    <t>CHENE T 40X40</t>
  </si>
  <si>
    <t>CHENE T 50X80</t>
  </si>
  <si>
    <t>COLZA-MQT200X0</t>
  </si>
  <si>
    <t>CRISTAL S 60X180</t>
  </si>
  <si>
    <t>CRISTAL-S60X200</t>
  </si>
  <si>
    <t>CRISTAL-T50X80</t>
  </si>
  <si>
    <t>CRISTAL T 120X160</t>
  </si>
  <si>
    <t>CRISTAL T 150X230</t>
  </si>
  <si>
    <t>CRISTAL-T160X230</t>
  </si>
  <si>
    <t>ENNADJAH T 133X133</t>
  </si>
  <si>
    <t>JASMIN-T40X40</t>
  </si>
  <si>
    <t>LILAS-MQT200X0</t>
  </si>
  <si>
    <t>LILAS-MQT400X0</t>
  </si>
  <si>
    <t>ORIGAN-T40X40</t>
  </si>
  <si>
    <t>PEUPLIER T 40X40     A+B</t>
  </si>
  <si>
    <t>ORIGAN-C100X500*AB</t>
  </si>
  <si>
    <t>SUNRISE E 100X282</t>
  </si>
  <si>
    <t>MALAGA-S220X220</t>
  </si>
  <si>
    <t>AL DIKRA-T133X67</t>
  </si>
  <si>
    <t>ALPINIA-MQT200X0</t>
  </si>
  <si>
    <t>ORIGAN MQT 400X0</t>
  </si>
  <si>
    <t>SUNRISE T 300X500      B</t>
  </si>
  <si>
    <t>AUSTRALIA E 160X289</t>
  </si>
  <si>
    <t>EL FOURAT-T133X67</t>
  </si>
  <si>
    <t>LONDON T 200X280</t>
  </si>
  <si>
    <t>PEUPLIER-C100X500</t>
  </si>
  <si>
    <t>VIRGINIA T 200X280</t>
  </si>
  <si>
    <t>BISSAT-T40X60</t>
  </si>
  <si>
    <t>CANNELLE C 100X500</t>
  </si>
  <si>
    <t>CANNELLE-MQT200X0</t>
  </si>
  <si>
    <t>ORIGAN C 100X300</t>
  </si>
  <si>
    <t>ORIGAN C 100X400</t>
  </si>
  <si>
    <t>ALPAGA-T200X280</t>
  </si>
  <si>
    <t>ENNADJAH CONFOR MS 133X0</t>
  </si>
  <si>
    <t>JUMANA-T200X300</t>
  </si>
  <si>
    <t>ENNADJAH MS 400X0</t>
  </si>
  <si>
    <t>ENNADJAH CONFOR MS 400X0</t>
  </si>
  <si>
    <t>MOUROUDJE-S60X195</t>
  </si>
  <si>
    <t>OURSON S 180X130                 A</t>
  </si>
  <si>
    <t>OURSON S 220X220              A</t>
  </si>
  <si>
    <t>BISSAT-O60X90</t>
  </si>
  <si>
    <t>BISSAT O 70X120</t>
  </si>
  <si>
    <t>RUBIS-O60X90</t>
  </si>
  <si>
    <t>AZHAR-T200X280</t>
  </si>
  <si>
    <t>CRISTAL-T40X60</t>
  </si>
  <si>
    <t>CANNELLE C 100X300</t>
  </si>
  <si>
    <t>PEUPLIER-C133X500</t>
  </si>
  <si>
    <t>RUBIS-O70X120</t>
  </si>
  <si>
    <t>SAPIN C 100X500          A+B</t>
  </si>
  <si>
    <t>COLZA T 40X40</t>
  </si>
  <si>
    <t>AL AQSA T 133X67</t>
  </si>
  <si>
    <t>AL BIKAA-T133X67</t>
  </si>
  <si>
    <t>ALPAGA S 220X220</t>
  </si>
  <si>
    <t>ALPAGA-SO180X130</t>
  </si>
  <si>
    <t>ARAFAT-T133X67</t>
  </si>
  <si>
    <t>EL BASMA-MSQ133X0</t>
  </si>
  <si>
    <t>PEUPLIER C 100X300</t>
  </si>
  <si>
    <t>CANNELLE C 133X500</t>
  </si>
  <si>
    <t>CANNELLE-MQT100X0</t>
  </si>
  <si>
    <t>MOUZDALIFAH-T133X67</t>
  </si>
  <si>
    <t>SAPIN-MQT100X0</t>
  </si>
  <si>
    <t>CANNELLE-MQT133X0</t>
  </si>
  <si>
    <t>PEUPLIER-MQT133X0</t>
  </si>
  <si>
    <t>ALPAGA S 180X130</t>
  </si>
  <si>
    <t>CACHEMIRE-T210X280</t>
  </si>
  <si>
    <t>CRISTAL-C90X300</t>
  </si>
  <si>
    <t>RELAX-O55X100</t>
  </si>
  <si>
    <t>SARAY SO 180X130</t>
  </si>
  <si>
    <t>AROSA-T190X230</t>
  </si>
  <si>
    <t>CACHEMIRE-S220X220</t>
  </si>
  <si>
    <t>ORIGAN-MQT100X0</t>
  </si>
  <si>
    <t>BAMBOU-C100X2500</t>
  </si>
  <si>
    <t>CANNELLE C 100X200</t>
  </si>
  <si>
    <t>CHENE-C100X2500</t>
  </si>
  <si>
    <t>ORIGAN C 100X200          A+B</t>
  </si>
  <si>
    <t>SAPIN-C100X200</t>
  </si>
  <si>
    <t>RUBIS-T160X230</t>
  </si>
  <si>
    <t>BAMBOU-RGZ100X0</t>
  </si>
  <si>
    <t>CANNELLE-T40X60</t>
  </si>
  <si>
    <t>CANNELLE-T50X80</t>
  </si>
  <si>
    <t>CANNELLE C 100X400</t>
  </si>
  <si>
    <t>CANNELLE-C100X2500</t>
  </si>
  <si>
    <t>ORIGAN-T40X60</t>
  </si>
  <si>
    <t>ORIGAN T 50X80</t>
  </si>
  <si>
    <t>OXALIS-MQT200X0</t>
  </si>
  <si>
    <t>PEUPLIER C 100X2500                 A+B</t>
  </si>
  <si>
    <t>RUBIS-S60X170</t>
  </si>
  <si>
    <t>SAPIN T 80X50</t>
  </si>
  <si>
    <t>SAPIN-MQT133X0</t>
  </si>
  <si>
    <t>SARAY S 210X220</t>
  </si>
  <si>
    <t>SARAY T 190X275</t>
  </si>
  <si>
    <t>AL HARAMEIN MS 66X0</t>
  </si>
  <si>
    <t>BISSAT-T60X90</t>
  </si>
  <si>
    <t>IZMIR-T70X110</t>
  </si>
  <si>
    <t>RUBIS-S60X195</t>
  </si>
  <si>
    <t>RUBIS-SO70X265</t>
  </si>
  <si>
    <t>RUBIS-T60X120</t>
  </si>
  <si>
    <t>RUBIS-T180X270</t>
  </si>
  <si>
    <t>SAPIN T 60X40</t>
  </si>
  <si>
    <t>SOFIA-T210X280</t>
  </si>
  <si>
    <t>VALENCIA-E155X284</t>
  </si>
  <si>
    <t>BISSAT-T60X120</t>
  </si>
  <si>
    <t>CRISTAL-T130X180</t>
  </si>
  <si>
    <t>ORIGAN-C100X2500</t>
  </si>
  <si>
    <t>SAPIN C 100X2500</t>
  </si>
  <si>
    <t>RUBIS-T130X180</t>
  </si>
  <si>
    <t>SHIRAZ-T180X270</t>
  </si>
  <si>
    <t>CRISTAL SO 70X265</t>
  </si>
  <si>
    <t>PLUME-T40X60</t>
  </si>
  <si>
    <t>RUBIS-T60X90</t>
  </si>
  <si>
    <t>CRISTAL S 60X185</t>
  </si>
  <si>
    <t>BISSAT S 60X185</t>
  </si>
  <si>
    <t>PEUPLIER-MQT100X0</t>
  </si>
  <si>
    <t>BISSAT-SO80X211</t>
  </si>
  <si>
    <t>ENNADJAH MS 133X0</t>
  </si>
  <si>
    <t>OURSON-R120X120</t>
  </si>
  <si>
    <t>OURSON R 180X180</t>
  </si>
  <si>
    <t>ASSEKREM-T240X400</t>
  </si>
  <si>
    <t>MIMOSA MQT 400X0</t>
  </si>
  <si>
    <t>CIRTA-T180X270</t>
  </si>
  <si>
    <t>CIRTA-T210X270</t>
  </si>
  <si>
    <t>CRISTAL SF 60X170</t>
  </si>
  <si>
    <t>CRISTAL-SO80X211</t>
  </si>
  <si>
    <t>MADERA-T200X280</t>
  </si>
  <si>
    <t>PLAZA-T200X280</t>
  </si>
  <si>
    <t>BISSAT S 53X210</t>
  </si>
  <si>
    <t>BISSAT-S60X195</t>
  </si>
  <si>
    <t>RUBIS-SF45X186</t>
  </si>
  <si>
    <t>RAZANE-T200X275</t>
  </si>
  <si>
    <t>AYAS-T200X280</t>
  </si>
  <si>
    <t>BISSAT O 48X80</t>
  </si>
  <si>
    <t>CIRTA-DL60X220</t>
  </si>
  <si>
    <t>CRISTAL O 48X80</t>
  </si>
  <si>
    <t>CRISTAL-S160X280</t>
  </si>
  <si>
    <t>CRISTAL T 60X80</t>
  </si>
  <si>
    <t>CRISTAL-T90X150</t>
  </si>
  <si>
    <t>CRISTAL-T160X220</t>
  </si>
  <si>
    <t>MARAM-T190X275</t>
  </si>
  <si>
    <t>MARAM-T190X400</t>
  </si>
  <si>
    <t>MIMOSA-T100X100</t>
  </si>
  <si>
    <t>NURAY-T120X170</t>
  </si>
  <si>
    <t>RAZANE-T150X200</t>
  </si>
  <si>
    <t>RAZANE-T180X270</t>
  </si>
  <si>
    <t>RAZANE-T300X400</t>
  </si>
  <si>
    <t>MARAM-T190X150</t>
  </si>
  <si>
    <t>SARAY S 210X230</t>
  </si>
  <si>
    <t>AL RAHIK-MSQ133X0</t>
  </si>
  <si>
    <t>ASSEKREM-SO180X130</t>
  </si>
  <si>
    <t>CORETE-T40X40</t>
  </si>
  <si>
    <t>FUSAIN T 40X40</t>
  </si>
  <si>
    <t>MONTANA-T210X280</t>
  </si>
  <si>
    <t>RAZANE-T200X400</t>
  </si>
  <si>
    <t>CRISTAL-O120X160</t>
  </si>
  <si>
    <t>ALPAGA T 160X230</t>
  </si>
  <si>
    <t>BISSAT-SF45X186</t>
  </si>
  <si>
    <t>CIRTA-T60X40</t>
  </si>
  <si>
    <t>MIMOSA-MQT200X0</t>
  </si>
  <si>
    <t>OURSON-T40X60</t>
  </si>
  <si>
    <t>RUBIS-T120X160</t>
  </si>
  <si>
    <t>SARAY-T190X255</t>
  </si>
  <si>
    <t>SHIRAZ-T150X220</t>
  </si>
  <si>
    <t>VIOLETTE SF 49X160</t>
  </si>
  <si>
    <t>ASSEKREM O 65X100</t>
  </si>
  <si>
    <t>RAZANE-T150X220</t>
  </si>
  <si>
    <t>SHIRAZ-O65X100</t>
  </si>
  <si>
    <t>SHIRAZ O 150X220</t>
  </si>
  <si>
    <t>AUSTRALIA-O55X100</t>
  </si>
  <si>
    <t>CORETE-MQT200X0</t>
  </si>
  <si>
    <t>CRISTAL R 120X120</t>
  </si>
  <si>
    <t>FUSAIN MQT 200X0</t>
  </si>
  <si>
    <t>AFNANE-T125X67</t>
  </si>
  <si>
    <t>ALBA T 40X40</t>
  </si>
  <si>
    <t>ALBERTA-T210X280</t>
  </si>
  <si>
    <t>BISSAT R 120X120</t>
  </si>
  <si>
    <t>COLZA T 100X100</t>
  </si>
  <si>
    <t>CORETE-MQT100X0</t>
  </si>
  <si>
    <t>COSTA T 210X280</t>
  </si>
  <si>
    <t>FOX T 200X280</t>
  </si>
  <si>
    <t>FUSAIN MQT 100X0</t>
  </si>
  <si>
    <t>LILAS T 100X100</t>
  </si>
  <si>
    <t>MIMOSA T 50X50</t>
  </si>
  <si>
    <t>RAJAA T 200X300</t>
  </si>
  <si>
    <t>SUNRISE T 300X600</t>
  </si>
  <si>
    <t>SAC GM-SAC45X80</t>
  </si>
  <si>
    <t>SAC PM-SAC35X60</t>
  </si>
  <si>
    <t>BISSAT-F160X230</t>
  </si>
  <si>
    <t>BODRUM-SO100X250</t>
  </si>
  <si>
    <t>OURSON-T160X220</t>
  </si>
  <si>
    <t>SARAY S 220X220</t>
  </si>
  <si>
    <t>VIENNA T 210X280</t>
  </si>
  <si>
    <t>SIERRA-T200X280</t>
  </si>
  <si>
    <t>AZHAR T 160X220</t>
  </si>
  <si>
    <t>ISLA-T200X280</t>
  </si>
  <si>
    <t>MARBRE-T180X270</t>
  </si>
  <si>
    <t>RAZANE T 60X110</t>
  </si>
  <si>
    <t>SATURNE T 40X60</t>
  </si>
  <si>
    <t>SUNRISE-R165X165</t>
  </si>
  <si>
    <t>TADJ C 80X1000</t>
  </si>
  <si>
    <t>BISSAT T 45X90</t>
  </si>
  <si>
    <t>VIOLETTE T 49X80</t>
  </si>
  <si>
    <t>AYAS-S220X220</t>
  </si>
  <si>
    <t>CANNELLE-T60X90</t>
  </si>
  <si>
    <t>CIRTA-T60X110</t>
  </si>
  <si>
    <t>CRISTAL T 60X90</t>
  </si>
  <si>
    <t>CRISTAL T 60X105</t>
  </si>
  <si>
    <t>CRISTAL-T60X120</t>
  </si>
  <si>
    <t>ROFANE-T160X230</t>
  </si>
  <si>
    <t>ROFANE-T200X280</t>
  </si>
  <si>
    <t>RUBIS-T45X90</t>
  </si>
  <si>
    <t>RELAX-C120X2500</t>
  </si>
  <si>
    <t>AL ISLAH-T125X67</t>
  </si>
  <si>
    <t>CRISTAL-C90X400</t>
  </si>
  <si>
    <t>CRISTAL SO 292X211</t>
  </si>
  <si>
    <t>NURAY-T210X280</t>
  </si>
  <si>
    <t>SHIRAZ-O200X150</t>
  </si>
  <si>
    <t>ISLA-T210X280</t>
  </si>
  <si>
    <t>OURSON-SO180X130</t>
  </si>
  <si>
    <t>AL FADEL MSQ 1.25*12.5</t>
  </si>
  <si>
    <t>HAZAR-T200X150</t>
  </si>
  <si>
    <t>OLYMPIA-T40X60</t>
  </si>
  <si>
    <t>AMIRA-T200X275</t>
  </si>
  <si>
    <t>CRISTAL O 80X115</t>
  </si>
  <si>
    <t>CRISTAL SF 45X186</t>
  </si>
  <si>
    <t>CRISTAL T 45X90</t>
  </si>
  <si>
    <t>OLYMPIA O 90X55</t>
  </si>
  <si>
    <t>RAZANE-T200X150</t>
  </si>
  <si>
    <t>SARAY T 190X250</t>
  </si>
  <si>
    <t>ACACIA-MQT200X0</t>
  </si>
  <si>
    <t>MIMOSA-T40X60</t>
  </si>
  <si>
    <t>PEUPLIER MQT 200X0</t>
  </si>
  <si>
    <t>TAGHIT-T60X40</t>
  </si>
  <si>
    <t>VIOLETTE-S49X160</t>
  </si>
  <si>
    <t>ACACIA-C100X2500</t>
  </si>
  <si>
    <t>CEDRE-RGZ100X0</t>
  </si>
  <si>
    <t>CRISTAL SF 45X96</t>
  </si>
  <si>
    <t>IBTIHAL-MSQ133X0</t>
  </si>
  <si>
    <t>VIOLETTE-T57X135</t>
  </si>
  <si>
    <t>CORETE-C100X2500</t>
  </si>
  <si>
    <t>CANNELLE-RGZ100X0</t>
  </si>
  <si>
    <t>ORIGAN-RGZ100X0</t>
  </si>
  <si>
    <t>ORIGAN-RGZ200X0</t>
  </si>
  <si>
    <t>VALENCIA-ETO155X284</t>
  </si>
  <si>
    <t>AYAS-T65X100</t>
  </si>
  <si>
    <t>ENNADJAH MSQ 66X0</t>
  </si>
  <si>
    <t>PLATANE-RGZ100X0</t>
  </si>
  <si>
    <t>TAGHIT C 120X2500</t>
  </si>
  <si>
    <t>CRISTAL-C90X500</t>
  </si>
  <si>
    <t>CRISTAL SO 80X235</t>
  </si>
  <si>
    <t>AYAS-SO180X130</t>
  </si>
  <si>
    <t>BISSAT-SF45X96</t>
  </si>
  <si>
    <t>CIRTA-C90X300</t>
  </si>
  <si>
    <t>CIRTA-C90X400</t>
  </si>
  <si>
    <t>CIRTA-S60X120</t>
  </si>
  <si>
    <t>CORETE-RGZ200X0</t>
  </si>
  <si>
    <t>EL FOURAT-MSQ133X0</t>
  </si>
  <si>
    <t>PLATANE-RGZ200X0</t>
  </si>
  <si>
    <t>RAZANE-T165X230</t>
  </si>
  <si>
    <t>RUBIS-C90X300</t>
  </si>
  <si>
    <t>ASSEKREM-T60X110</t>
  </si>
  <si>
    <t>RELAX T 240X340</t>
  </si>
  <si>
    <t>AL WIFAK T 200X850</t>
  </si>
  <si>
    <t>AL WIFAK T 400X850</t>
  </si>
  <si>
    <t>ALBERTA MQT 210X600</t>
  </si>
  <si>
    <t>ASSEKREM-T150X220</t>
  </si>
  <si>
    <t>BOSPHOR-T124X280</t>
  </si>
  <si>
    <t>CANNELLE-T80X100</t>
  </si>
  <si>
    <t>CIRTA-S210X220</t>
  </si>
  <si>
    <t>FUSAIN-RGZ100X0</t>
  </si>
  <si>
    <t>MARAM-T165X230</t>
  </si>
  <si>
    <t>BOSPHOR-T124X219</t>
  </si>
  <si>
    <t>FUSAIN-RGZ200X0</t>
  </si>
  <si>
    <t>ORIGAN-T80X100*AB</t>
  </si>
  <si>
    <t>RUBIS-C90X500</t>
  </si>
  <si>
    <t>SHIRAZ-C80X2000</t>
  </si>
  <si>
    <t>SOFIA-T90X163</t>
  </si>
  <si>
    <t>SHIRAZ-C83X300</t>
  </si>
  <si>
    <t>SHIRAZ C 83X400</t>
  </si>
  <si>
    <t>SHIRAZ-C83X500</t>
  </si>
  <si>
    <t>ABELIA-RGZ100X0</t>
  </si>
  <si>
    <t>ACACIA-T80X100</t>
  </si>
  <si>
    <t>ACER-RGZ100X0</t>
  </si>
  <si>
    <t>BAMBOU-T80X100</t>
  </si>
  <si>
    <t>BODRUM-T60X100</t>
  </si>
  <si>
    <t>CRISTAL C 100X300</t>
  </si>
  <si>
    <t>CRISTAL-C100X400</t>
  </si>
  <si>
    <t>CRISTAL C 100X500</t>
  </si>
  <si>
    <t>CRISTAL SF 40X120</t>
  </si>
  <si>
    <t>MALAGA-O80X130</t>
  </si>
  <si>
    <t>MATRIX-T70X170</t>
  </si>
  <si>
    <t>ORIGAN-T90X60</t>
  </si>
  <si>
    <t>RUBIS-SF60X170</t>
  </si>
  <si>
    <t>RUBIS-T60X80</t>
  </si>
  <si>
    <t>RUBIS-T160X220</t>
  </si>
  <si>
    <t>SHIRAZ C 80X1500</t>
  </si>
  <si>
    <t>SOFIA T 150X220</t>
  </si>
  <si>
    <t>TREFLE-RGZ100X0</t>
  </si>
  <si>
    <t>VALENCIA-O90X55</t>
  </si>
  <si>
    <t>MELODIE-C95X400</t>
  </si>
  <si>
    <t>OLYMPIA-T50X200</t>
  </si>
  <si>
    <t>RELAX-C105X2000</t>
  </si>
  <si>
    <t>AYAS S 180X130</t>
  </si>
  <si>
    <t>OCEAN-O80X130</t>
  </si>
  <si>
    <t>AL HARAMEIN T 48X67</t>
  </si>
  <si>
    <t>ENNADJAH T 45X67</t>
  </si>
  <si>
    <t>PHENIX-T40X60</t>
  </si>
  <si>
    <t>PHENIX-T60X90</t>
  </si>
  <si>
    <t>PHENIX-T80X50</t>
  </si>
  <si>
    <t>PHENIX-T80X100</t>
  </si>
  <si>
    <t>RELAX-T250X170</t>
  </si>
  <si>
    <t>RUBIS-S60X185</t>
  </si>
  <si>
    <t>SHIRAZ-C100X2000</t>
  </si>
  <si>
    <t>TADJ MQT 250X0</t>
  </si>
  <si>
    <t>VIOLETTE S 49X285</t>
  </si>
  <si>
    <t>FETH-MSQ250X0</t>
  </si>
  <si>
    <t>IZMIR MSQ 125X0</t>
  </si>
  <si>
    <t>RUBIS-O48X80</t>
  </si>
  <si>
    <t>RUBIS-SF40X120</t>
  </si>
  <si>
    <t>RUBIS-SF45X96</t>
  </si>
  <si>
    <t>RUBIS-T60X105</t>
  </si>
  <si>
    <t>IBTIHAL T 40X60</t>
  </si>
  <si>
    <t>LAMA-T200X280*AB</t>
  </si>
  <si>
    <t>MELODIE-T165X230</t>
  </si>
  <si>
    <t>MIMOSA-T40X120</t>
  </si>
  <si>
    <t>REGINA T 210X280</t>
  </si>
  <si>
    <t>SHIRAZ C 100X500</t>
  </si>
  <si>
    <t>VALENCIA T 155X220</t>
  </si>
  <si>
    <t>MIMOSA-T40X40</t>
  </si>
  <si>
    <t>MIMOSA T 50X80</t>
  </si>
  <si>
    <t>VIOLETTE-T49X95</t>
  </si>
  <si>
    <t>VIOLLETTE T 49X135</t>
  </si>
  <si>
    <t>AL INSAF  T 66X45</t>
  </si>
  <si>
    <t>AL ISLAH T 40X60</t>
  </si>
  <si>
    <t>BAHDJA-DL60X220</t>
  </si>
  <si>
    <t>CIRTA-C90X500</t>
  </si>
  <si>
    <t>CIRTA-C90X2000</t>
  </si>
  <si>
    <t>COLZA-MQT100X0</t>
  </si>
  <si>
    <t>RUBIS-S160X280</t>
  </si>
  <si>
    <t>ZAFER-T210X280</t>
  </si>
  <si>
    <t>SUNRISE C 83X400</t>
  </si>
  <si>
    <t>SUNRISE C 83X500</t>
  </si>
  <si>
    <t>TADJ-C83X1000</t>
  </si>
  <si>
    <t>MARMARA C 100X250</t>
  </si>
  <si>
    <t>NEPAL T 40X60</t>
  </si>
  <si>
    <t>ONYX T 200X280</t>
  </si>
  <si>
    <t>PLUME-O80X120</t>
  </si>
  <si>
    <t>PLUME-T180X270</t>
  </si>
  <si>
    <t>RAZANE-T250X400</t>
  </si>
  <si>
    <t>RELAX C 140X2000</t>
  </si>
  <si>
    <t>ROFANE-T148X230</t>
  </si>
  <si>
    <t>AL WAFAA-T40X60</t>
  </si>
  <si>
    <t>ENNADJAH-T133X67</t>
  </si>
  <si>
    <t>IBERIS-MQT200X0</t>
  </si>
  <si>
    <t>ARENA MQT 200X0</t>
  </si>
  <si>
    <t>ARENA MQT 400X0</t>
  </si>
  <si>
    <t>TADJ-C200X2000</t>
  </si>
  <si>
    <t>PRIME CLIENT</t>
  </si>
  <si>
    <t>RUBIS-S180X190</t>
  </si>
  <si>
    <t>RUBIS-SO80X211</t>
  </si>
  <si>
    <t>ACACIA-T40X40</t>
  </si>
  <si>
    <t>ANOUAR-T45X60</t>
  </si>
  <si>
    <t>ANOUAR-C125X2500</t>
  </si>
  <si>
    <t>CIRTA-C84X2000</t>
  </si>
  <si>
    <t>CIRTA-C105X300</t>
  </si>
  <si>
    <t>ENNADJAH T 66X45</t>
  </si>
  <si>
    <t>FLORENCIA-T200X280</t>
  </si>
  <si>
    <t>IBERIS-MQT100X0</t>
  </si>
  <si>
    <t>IBERIS-MQT400X0</t>
  </si>
  <si>
    <t>MIMOSA MQT 100X0</t>
  </si>
  <si>
    <t>OSTRAY-MQT100X0</t>
  </si>
  <si>
    <t>OZEL-T200X280</t>
  </si>
  <si>
    <t>RELAX-C105X1000</t>
  </si>
  <si>
    <t>RELAX-C120X300</t>
  </si>
  <si>
    <t>OSTRAY-MQT200X0</t>
  </si>
  <si>
    <t>OSTRAY-MQT400X0</t>
  </si>
  <si>
    <t>CASTOR-T40X60</t>
  </si>
  <si>
    <t>PLUME-O80X130</t>
  </si>
  <si>
    <t>DF MIRAGE T 210X280</t>
  </si>
  <si>
    <t>DF MONACO S 220X220</t>
  </si>
  <si>
    <t>DF NOBLE T 200X280</t>
  </si>
  <si>
    <t>DF OLYMPIA T 160X230</t>
  </si>
  <si>
    <t>DF OPERA T 200X275</t>
  </si>
  <si>
    <t>DF RELAX S 60X370</t>
  </si>
  <si>
    <t>DF ALASKA T 210X280</t>
  </si>
  <si>
    <t>DF RELAX T 180X270</t>
  </si>
  <si>
    <t>DF ALMERIA T 210X280</t>
  </si>
  <si>
    <t>DF RELAX T 240X330</t>
  </si>
  <si>
    <t>DF ANOUAR T 210X280</t>
  </si>
  <si>
    <t>DF SAVANE T 200X290</t>
  </si>
  <si>
    <t>DF AROSA T 200X275</t>
  </si>
  <si>
    <t>DF SHIRAZ T 200X275</t>
  </si>
  <si>
    <t>DF ATLANTIC T 200X280</t>
  </si>
  <si>
    <t>DF AUSTRALIA T 200X280</t>
  </si>
  <si>
    <t>DF TADJ O 160X230</t>
  </si>
  <si>
    <t>DF AZALEA T 200X280</t>
  </si>
  <si>
    <t>DF BAHAR T 200X280</t>
  </si>
  <si>
    <t>DF TADJ R 160X160</t>
  </si>
  <si>
    <t>DF BOSPHOR T 200X280</t>
  </si>
  <si>
    <t>DF TADJ T 160X230</t>
  </si>
  <si>
    <t>DF CASA T 200X275</t>
  </si>
  <si>
    <t>DF TADJ T 165X230</t>
  </si>
  <si>
    <t>DF CIRTA T 180X270</t>
  </si>
  <si>
    <t>DF COZY T 210X280</t>
  </si>
  <si>
    <t>DF TADJ T 200X150</t>
  </si>
  <si>
    <t>DF ELITE T 200X280</t>
  </si>
  <si>
    <t>DF TADJ T 200X275</t>
  </si>
  <si>
    <t>DF FOCUS T 200X280</t>
  </si>
  <si>
    <t>DF GENOUA T 210X280</t>
  </si>
  <si>
    <t>DF TADJ T 200X375</t>
  </si>
  <si>
    <t>DF HAZAR T 200X280</t>
  </si>
  <si>
    <t>DF TORINO T 210X280</t>
  </si>
  <si>
    <t>DF ISHRAK T 200X275</t>
  </si>
  <si>
    <t>DF IZMIR O 80X130</t>
  </si>
  <si>
    <t>DF TRABZON T 200X280</t>
  </si>
  <si>
    <t>DF IZMIR T 200X280</t>
  </si>
  <si>
    <t>DF VALENCIA O 60X100</t>
  </si>
  <si>
    <t>DF KITCHEN S 60X210</t>
  </si>
  <si>
    <t>DF KONYA T 200X280</t>
  </si>
  <si>
    <t>DF VERONE T 210X280</t>
  </si>
  <si>
    <t>DF MALAGA T 200X280</t>
  </si>
  <si>
    <t>DF VICTORIA S 220X220</t>
  </si>
  <si>
    <t>DF MARMARA T 160X220</t>
  </si>
  <si>
    <t>DF VICTORIA T 200X280</t>
  </si>
  <si>
    <t>DF MARMARA T 200X280</t>
  </si>
  <si>
    <t>DF MATRIX T 200X280</t>
  </si>
  <si>
    <t>DF RELAX S 210X220</t>
  </si>
  <si>
    <t>ANKARA-SO100X250</t>
  </si>
  <si>
    <t>ANKARA-T200X280</t>
  </si>
  <si>
    <t>DAISY-T40X60</t>
  </si>
  <si>
    <t>DAISY-MQT100X0</t>
  </si>
  <si>
    <t>DUBAI-T200X280</t>
  </si>
  <si>
    <t>IBERIS T 40X60</t>
  </si>
  <si>
    <t>KILIS-T200X280</t>
  </si>
  <si>
    <t>NOUR-C90X2000</t>
  </si>
  <si>
    <t>NOUR-O160X230</t>
  </si>
  <si>
    <t>NOUR-T200X275</t>
  </si>
  <si>
    <t>PRINTEMPS-T200X280</t>
  </si>
  <si>
    <t>SIRINE-T200X275</t>
  </si>
  <si>
    <t>SIRINE-T250X400</t>
  </si>
  <si>
    <t>TERCAN-T200X280</t>
  </si>
  <si>
    <t>VALENCIA-T190X270</t>
  </si>
  <si>
    <t>ALBERTA-S210X220</t>
  </si>
  <si>
    <t>ANKARA-SO180X130</t>
  </si>
  <si>
    <t>ANAKA-SO48X160</t>
  </si>
  <si>
    <t>RUBIS-DL60X160</t>
  </si>
  <si>
    <t>RUBIS-DL60X180</t>
  </si>
  <si>
    <t>RUBIS-SO48X160</t>
  </si>
  <si>
    <t>NOUR-C83X300</t>
  </si>
  <si>
    <t>NOUR-C83X400</t>
  </si>
  <si>
    <t>NOUR-C83X500</t>
  </si>
  <si>
    <t>NOUR-C83X2000</t>
  </si>
  <si>
    <t>NOUR-C90X300</t>
  </si>
  <si>
    <t>NOUR-C90X400</t>
  </si>
  <si>
    <t>NOUR-C90X500</t>
  </si>
  <si>
    <t>SILENE-MQT200X0</t>
  </si>
  <si>
    <t>FUSAIN-C100X2500</t>
  </si>
  <si>
    <t>ANAKA-T40X60</t>
  </si>
  <si>
    <t>RUBIS-O120X160</t>
  </si>
  <si>
    <t>RUBIS-R90X90</t>
  </si>
  <si>
    <t>AL MANASSIK-T133X67</t>
  </si>
  <si>
    <t>ANHAR-T133X67</t>
  </si>
  <si>
    <t>OMRA-T133X67</t>
  </si>
  <si>
    <t>PLAZA-T210X270</t>
  </si>
  <si>
    <t>SIRINE-C83X300</t>
  </si>
  <si>
    <t>VALENCIA-T160X230</t>
  </si>
  <si>
    <t>RUBIS-O80X115</t>
  </si>
  <si>
    <t>AL MANASSIK-T66X48</t>
  </si>
  <si>
    <t>ANHAR-T66X48</t>
  </si>
  <si>
    <t>DUBAI-C80X250</t>
  </si>
  <si>
    <t>DUBAI-O160X230</t>
  </si>
  <si>
    <t>DUBAI-R120X120</t>
  </si>
  <si>
    <t>DUBAI-R160X160</t>
  </si>
  <si>
    <t>DUBAI-SO180X130</t>
  </si>
  <si>
    <t>DUBAI-T120X170</t>
  </si>
  <si>
    <t>DUBAI-T160X230</t>
  </si>
  <si>
    <t>MERSIN-C100X500</t>
  </si>
  <si>
    <t>OSTRAY-T40X60</t>
  </si>
  <si>
    <t>SARAGOSSA-T50X100</t>
  </si>
  <si>
    <t>SIRINE-C83X500</t>
  </si>
  <si>
    <t>YOSR-T125X67</t>
  </si>
  <si>
    <t>NOUR-T250X400</t>
  </si>
  <si>
    <t>ISHRAK-O200X150</t>
  </si>
  <si>
    <t>ANOUAR-C105X2000</t>
  </si>
  <si>
    <t>ATAKOR-MQT210X0</t>
  </si>
  <si>
    <t>CIRTA-C80X300</t>
  </si>
  <si>
    <t>DUBAI-S220X220</t>
  </si>
  <si>
    <t>RUBIS-O160X230</t>
  </si>
  <si>
    <t>CARPETTE MIMOSA-T33X60</t>
  </si>
  <si>
    <t>CARPETTE MIMOSA-T40X60</t>
  </si>
  <si>
    <t>AL DJAMAL-MSQ125X0</t>
  </si>
  <si>
    <t>ANAKA-T130X180</t>
  </si>
  <si>
    <t>ANAKA-S60X200</t>
  </si>
  <si>
    <t>AMIRA-S49X265</t>
  </si>
  <si>
    <t>AUTRICHE-T200X280</t>
  </si>
  <si>
    <t>BAHDJA-T210X270</t>
  </si>
  <si>
    <t>DUBAI-C90X200</t>
  </si>
  <si>
    <t>DUBAI-C100X250</t>
  </si>
  <si>
    <t>DUBAI-C90X250</t>
  </si>
  <si>
    <t>DUBAI-C90X300</t>
  </si>
  <si>
    <t>DUBAI-C120X250</t>
  </si>
  <si>
    <t>NOUR-T200X150</t>
  </si>
  <si>
    <t>PRINTEMPS-T60X115</t>
  </si>
  <si>
    <t>RAZANE-T240X400</t>
  </si>
  <si>
    <t>VALENCIA-T60X115</t>
  </si>
  <si>
    <t>DUBAI-S180X130</t>
  </si>
  <si>
    <t>BODRUM-S100X250</t>
  </si>
  <si>
    <t>ANKARA-S100X250</t>
  </si>
  <si>
    <t>ANKARA-C100X500</t>
  </si>
  <si>
    <t>ATAKOR-T105X100</t>
  </si>
  <si>
    <t>AUTRICHE-C100X500</t>
  </si>
  <si>
    <t>AUTRICHE-C120X500</t>
  </si>
  <si>
    <t>CIRTA-S60X210</t>
  </si>
  <si>
    <t>FENNEC-T200X280</t>
  </si>
  <si>
    <t>MERSIN-T200X280</t>
  </si>
  <si>
    <t>MERSIN-T200X300</t>
  </si>
  <si>
    <t>MURCIA-T200X280</t>
  </si>
  <si>
    <t>SILENE-MQT200X12.50</t>
  </si>
  <si>
    <t>MERSIN-C100X300</t>
  </si>
  <si>
    <t>ANAKA-SO80X211</t>
  </si>
  <si>
    <t>ANAKA-T160X230</t>
  </si>
  <si>
    <t>RUBIS-T180X280</t>
  </si>
  <si>
    <t>ACACIA-RGZ200X0</t>
  </si>
  <si>
    <t>MERSIN-C100X200</t>
  </si>
  <si>
    <t>NOUR-C100X300</t>
  </si>
  <si>
    <t>ISLANDA-T200X280</t>
  </si>
  <si>
    <t>NOUR-C100X400</t>
  </si>
  <si>
    <t>BISSAT-C80X300</t>
  </si>
  <si>
    <t>BISSAT-C80X400</t>
  </si>
  <si>
    <t>BISSAT-C80X500</t>
  </si>
  <si>
    <t>BISSAT-T120X160</t>
  </si>
  <si>
    <t>BISSAT-T160X230</t>
  </si>
  <si>
    <t>CIRTA-T240X330</t>
  </si>
  <si>
    <t>BISSAT-C80X200</t>
  </si>
  <si>
    <t>AMIRA-S49X160</t>
  </si>
  <si>
    <t>ANTEP-T200X300</t>
  </si>
  <si>
    <t>CIRTA-C84X1000</t>
  </si>
  <si>
    <t>CIRTA-T150X220</t>
  </si>
  <si>
    <t>ISLANDA-C100X400</t>
  </si>
  <si>
    <t>ISLANDA-T120X170</t>
  </si>
  <si>
    <t>ISLANDA-T160X230</t>
  </si>
  <si>
    <t>ISLANDA-T200X300</t>
  </si>
  <si>
    <t>MADRID-T200X280</t>
  </si>
  <si>
    <t>MELODIE-C95X500</t>
  </si>
  <si>
    <t>MERSIN-T50X80</t>
  </si>
  <si>
    <t>MERSIN-T120X170</t>
  </si>
  <si>
    <t>MERSIN-T150X220</t>
  </si>
  <si>
    <t>MUGLA-T200X280</t>
  </si>
  <si>
    <t>NOUR-T165X230</t>
  </si>
  <si>
    <t>PLAZA-T60X110</t>
  </si>
  <si>
    <t>SAADY_IZ120-T200X300</t>
  </si>
  <si>
    <t>ANTEP-T200X280</t>
  </si>
  <si>
    <t>SIRINE-T160X230</t>
  </si>
  <si>
    <t>NOUR-R160X160</t>
  </si>
  <si>
    <t>TERCAN-T240X400</t>
  </si>
  <si>
    <t>YOSR-MSQ125X0</t>
  </si>
  <si>
    <t>ANAKA-T120X160</t>
  </si>
  <si>
    <t>BISSAT-C80X600</t>
  </si>
  <si>
    <t>RUBIS-C80X200</t>
  </si>
  <si>
    <t>RUBIS-C80X300</t>
  </si>
  <si>
    <t>BISSAT-T60X80</t>
  </si>
  <si>
    <t>RUBIS-T45X48</t>
  </si>
  <si>
    <t>RUBIS-C80X400</t>
  </si>
  <si>
    <t>ZINNIA-T100X100</t>
  </si>
  <si>
    <t>SIRINE-T250X680</t>
  </si>
  <si>
    <t>SIRINE-T250X500</t>
  </si>
  <si>
    <t>SIRINE-T200X150</t>
  </si>
  <si>
    <t>SILENE-T40X60</t>
  </si>
  <si>
    <t>SARAGOSSA-T200X280</t>
  </si>
  <si>
    <t>PLUME-O90X55</t>
  </si>
  <si>
    <t>MIRABEL-T200X300</t>
  </si>
  <si>
    <t>MIRABEL-T150X220</t>
  </si>
  <si>
    <t>MIRABEL-T120X170</t>
  </si>
  <si>
    <t>MELODIE-C90X400</t>
  </si>
  <si>
    <t>MADRID-T40X60</t>
  </si>
  <si>
    <t>DUBAI-R90X90</t>
  </si>
  <si>
    <t>AUTRICHE-T120X170</t>
  </si>
  <si>
    <t>AUTRICHE-C100X400</t>
  </si>
  <si>
    <t>AUTRICHE-C100X300</t>
  </si>
  <si>
    <t>ATAKOR-T40X60</t>
  </si>
  <si>
    <t>PLAZA-T210X280</t>
  </si>
  <si>
    <t>ISHRAK-R120X120</t>
  </si>
  <si>
    <t>ANKARA-T160X230</t>
  </si>
  <si>
    <t>BRAGA-S220X220</t>
  </si>
  <si>
    <t>BRAGA-SO180X130</t>
  </si>
  <si>
    <t>FENNEC-S220X220</t>
  </si>
  <si>
    <t>CIRTA-T60X120</t>
  </si>
  <si>
    <t>CIRTA-T240X400</t>
  </si>
  <si>
    <t>CARTHAGENE-T200X280</t>
  </si>
  <si>
    <t>MERSIN-T400X500</t>
  </si>
  <si>
    <t>NOUR-T160X230</t>
  </si>
  <si>
    <t>BRAGA-S180X130</t>
  </si>
  <si>
    <t>FENNEC-SO180X130</t>
  </si>
  <si>
    <t>RELAX-T45X45</t>
  </si>
  <si>
    <t>CORAIL-T100X100</t>
  </si>
  <si>
    <t>FENNEC-T60X110</t>
  </si>
  <si>
    <t>MERSIN-T80X150</t>
  </si>
  <si>
    <t>MIRABEL-T200X280</t>
  </si>
  <si>
    <t>ZIRCON-T100X100</t>
  </si>
  <si>
    <t>SAADY_IZ120-T200X280</t>
  </si>
  <si>
    <t>ANHAR-MSQ66X0</t>
  </si>
  <si>
    <t>ANHAR-MSQ133X0</t>
  </si>
  <si>
    <t>CORAIL-MQT200X0</t>
  </si>
  <si>
    <t>EMERAUDE-MQT200X0</t>
  </si>
  <si>
    <t>ZIRCON-MQT200X0</t>
  </si>
  <si>
    <t>AL MANASSIK-MSQ66X0</t>
  </si>
  <si>
    <t>KILLIS-T200X280</t>
  </si>
  <si>
    <t>MELODIE-T190X150</t>
  </si>
  <si>
    <t>BISSAT-T130X180</t>
  </si>
  <si>
    <t>BISSAT-T160X220</t>
  </si>
  <si>
    <t>MADRID-S220X220</t>
  </si>
  <si>
    <t>MADRID-SO180X130</t>
  </si>
  <si>
    <t>NOUR-C100X2000</t>
  </si>
  <si>
    <t>PLAZA-S180X130</t>
  </si>
  <si>
    <t>PLAZA-S210X230</t>
  </si>
  <si>
    <t>ATAKOR-T200X280</t>
  </si>
  <si>
    <t>CORAIL-MQT135X0</t>
  </si>
  <si>
    <t>ATAKOR-C125X500</t>
  </si>
  <si>
    <t>AUTRICHE-T40X60</t>
  </si>
  <si>
    <t>KILIS-S220X220</t>
  </si>
  <si>
    <t>KILIS-SO180X130</t>
  </si>
  <si>
    <t>MELODIE-C95X1000</t>
  </si>
  <si>
    <t>OCTAVE-T165X230</t>
  </si>
  <si>
    <t>PALACE-T200X280</t>
  </si>
  <si>
    <t>AL MANASSIK-MSQ25X0</t>
  </si>
  <si>
    <t>AL MANASSIK-MSQ125X0</t>
  </si>
  <si>
    <t>MIRABEL-C100X400</t>
  </si>
  <si>
    <t>SIRINE-C90X300</t>
  </si>
  <si>
    <t>SIRINE-O200X150</t>
  </si>
  <si>
    <t>MELODIE-C95X2000</t>
  </si>
  <si>
    <t>AMIRA-T49X70</t>
  </si>
  <si>
    <t>ANAKA-BLC40X600</t>
  </si>
  <si>
    <t>BISSAT-T60X40</t>
  </si>
  <si>
    <t>RUBIS-BLC40X600</t>
  </si>
  <si>
    <t>RUBIS-BLC45X480</t>
  </si>
  <si>
    <t>RUBIS-BLC60X400</t>
  </si>
  <si>
    <t>RUBIS-BLC60X800</t>
  </si>
  <si>
    <t>RUBIS-S110X160</t>
  </si>
  <si>
    <t>BISSAT-O160X230</t>
  </si>
  <si>
    <t>AUTRICHE-T160X220</t>
  </si>
  <si>
    <t>INES-T165X230</t>
  </si>
  <si>
    <t>MERSIN-T250X350</t>
  </si>
  <si>
    <t>MIRABEL-T300X400</t>
  </si>
  <si>
    <t>SIRINE-T250X600</t>
  </si>
  <si>
    <t>ANKARA-O60X100</t>
  </si>
  <si>
    <t>ANKARA-O100X130</t>
  </si>
  <si>
    <t>PLAZA-S220X220</t>
  </si>
  <si>
    <t>RUBIS-R160X160</t>
  </si>
  <si>
    <t>AUTRICHE-T160X230</t>
  </si>
  <si>
    <t>CORAIL-T50X80</t>
  </si>
  <si>
    <t>SIRINE-C90X500</t>
  </si>
  <si>
    <t>RUBIS-R180X180</t>
  </si>
  <si>
    <t>MUGLA-O160X230</t>
  </si>
  <si>
    <t>MUGLA-S220X220</t>
  </si>
  <si>
    <t>MUGLA-S180X130</t>
  </si>
  <si>
    <t>MUGLA-T240X400</t>
  </si>
  <si>
    <t>RUBIS-DL55X160</t>
  </si>
  <si>
    <t>RUBIS-T80X110</t>
  </si>
  <si>
    <t>RUBIS-T120X180</t>
  </si>
  <si>
    <t>AL BASSIRA-MSQ133X0</t>
  </si>
  <si>
    <t>MUGLA-T160X230</t>
  </si>
  <si>
    <t>SIRINE-T300X500</t>
  </si>
  <si>
    <t>SIRINE-T300X400</t>
  </si>
  <si>
    <t>SINGAPOUR-T133X67</t>
  </si>
  <si>
    <t>MARAM-S190X220</t>
  </si>
  <si>
    <t>AMIRA-T160X240</t>
  </si>
  <si>
    <t>RUBIS-O160X220</t>
  </si>
  <si>
    <t>MADRID-S210X230</t>
  </si>
  <si>
    <t>PLAZA-T190X270</t>
  </si>
  <si>
    <t>MERSIN-SO100X250</t>
  </si>
  <si>
    <t>SIRINE-T165X230</t>
  </si>
  <si>
    <t>SHIRAZ-O80X130</t>
  </si>
  <si>
    <t>SHIRAZ-C90X2000</t>
  </si>
  <si>
    <t>RISTOURNE</t>
  </si>
  <si>
    <t>ISHRAK-T200X400</t>
  </si>
  <si>
    <t>FENNEC-T160X230</t>
  </si>
  <si>
    <t>STORY-C90X300</t>
  </si>
  <si>
    <t>STORY-R180X180</t>
  </si>
  <si>
    <t>ACACIA-T60X90</t>
  </si>
  <si>
    <t>MARAM-T190X350</t>
  </si>
  <si>
    <t>MADRID HR-T45X65</t>
  </si>
  <si>
    <t>STORY-C90X400</t>
  </si>
  <si>
    <t>STORY-C90X500</t>
  </si>
  <si>
    <t>STORY-O120X160</t>
  </si>
  <si>
    <t>STORY-R100X100</t>
  </si>
  <si>
    <t>STORY-T120X160</t>
  </si>
  <si>
    <t>STORY-T130X180</t>
  </si>
  <si>
    <t>ISHRAK-C100X2000</t>
  </si>
  <si>
    <t>ANAKA-T180X270</t>
  </si>
  <si>
    <t>STORY-SO80X211</t>
  </si>
  <si>
    <t>STORY-T160X230</t>
  </si>
  <si>
    <t>CACTUS-T50X50</t>
  </si>
  <si>
    <t>STORY-T60X80</t>
  </si>
  <si>
    <t>STORY-T160X220</t>
  </si>
  <si>
    <t>LOLITE-T100X100</t>
  </si>
  <si>
    <t>QUARTZ-T100X100</t>
  </si>
  <si>
    <t>SIRINE-S200X220</t>
  </si>
  <si>
    <t>MADRID-S180X130</t>
  </si>
  <si>
    <t>RIMAS-T200X275</t>
  </si>
  <si>
    <t>SUGUT-SO100X250</t>
  </si>
  <si>
    <t>SUGUT-T200X280</t>
  </si>
  <si>
    <t>PALACE-SO180X130</t>
  </si>
  <si>
    <t>SOFIA-S210X220</t>
  </si>
  <si>
    <t>RIHAB-T200X275</t>
  </si>
  <si>
    <t>MARAM-C95X300</t>
  </si>
  <si>
    <t>MELODIE-C95X300</t>
  </si>
  <si>
    <t>SIRINE-T300X600</t>
  </si>
  <si>
    <t>EL FOURAT-MSQ66X0</t>
  </si>
  <si>
    <t>ZINNIA-MQT400X0</t>
  </si>
  <si>
    <t>ANKARA-S180X130</t>
  </si>
  <si>
    <t>STORY-S160X280</t>
  </si>
  <si>
    <t>OCTAVE-T200X275</t>
  </si>
  <si>
    <t>TAGHIT-C105X2000</t>
  </si>
  <si>
    <t>RUBIS-S60X80</t>
  </si>
  <si>
    <t>STORY-O160X220</t>
  </si>
  <si>
    <t>STORY-S110X160</t>
  </si>
  <si>
    <t>CIRTA-SO180X130</t>
  </si>
  <si>
    <t>FENNEC-T240X400</t>
  </si>
  <si>
    <t>AUTRICHE-T240X400</t>
  </si>
  <si>
    <t>CACTUS-RGZ200X0</t>
  </si>
  <si>
    <t>CACTUS-RGZ400X0</t>
  </si>
  <si>
    <t>DUBAI-O65X100</t>
  </si>
  <si>
    <t>DUBAI-O80X130</t>
  </si>
  <si>
    <t>FENNEC-T175X315</t>
  </si>
  <si>
    <t>FENNEC-T200X300</t>
  </si>
  <si>
    <t>MARAM-C90X500</t>
  </si>
  <si>
    <t>MARAM-C95X500</t>
  </si>
  <si>
    <t>MARAM-T300X400</t>
  </si>
  <si>
    <t>MARAM-T300X600</t>
  </si>
  <si>
    <t>MAYSSA-T160X240</t>
  </si>
  <si>
    <t>PLUME-T120X160</t>
  </si>
  <si>
    <t>RAZANE-C83X300</t>
  </si>
  <si>
    <t>RAZANE-C83X400</t>
  </si>
  <si>
    <t>RAZANE-T300X600</t>
  </si>
  <si>
    <t>SHIRAZ-T200X235</t>
  </si>
  <si>
    <t>TAGHIT-C105X500</t>
  </si>
  <si>
    <t>TAGHIT-C105X1000</t>
  </si>
  <si>
    <t>OMRA-MSQ133X0</t>
  </si>
  <si>
    <t>BRAGA-T180X270</t>
  </si>
  <si>
    <t>STORY-C80X300</t>
  </si>
  <si>
    <t>STORY-C80X400</t>
  </si>
  <si>
    <t>STORY-O80X115</t>
  </si>
  <si>
    <t>ISTANBUL-T180X270</t>
  </si>
  <si>
    <t>HAZAR-T190X270</t>
  </si>
  <si>
    <t>PALACE-S180X130</t>
  </si>
  <si>
    <t>CIRTA-C84X1500</t>
  </si>
  <si>
    <t>ATAKOR-C105X1500</t>
  </si>
  <si>
    <t>ATAKOR-C105X2500</t>
  </si>
  <si>
    <t>PLUME-S100X250</t>
  </si>
  <si>
    <t>PALACE-T160X230</t>
  </si>
  <si>
    <t>OLYMPIA-T190X270</t>
  </si>
  <si>
    <t>NOUR-R125X125</t>
  </si>
  <si>
    <t>PALACE-S220X220</t>
  </si>
  <si>
    <t>MERSIN-E150X340</t>
  </si>
  <si>
    <t>MERSIN-S100X250</t>
  </si>
  <si>
    <t>FENNEC-T100X150</t>
  </si>
  <si>
    <t>INES-T200X275</t>
  </si>
  <si>
    <t>PLAZA-T75X120</t>
  </si>
  <si>
    <t>PLAZA-T150X220</t>
  </si>
  <si>
    <t>RAZANE-T300X500</t>
  </si>
  <si>
    <t>PLAZA-SO100X250</t>
  </si>
  <si>
    <t>PRINTEMPS-SO100X250</t>
  </si>
  <si>
    <t>BRAGA-SO100X250</t>
  </si>
  <si>
    <t>CACTUS-RGZ100X0</t>
  </si>
  <si>
    <t>DUBAI-C80X2000</t>
  </si>
  <si>
    <t>TERCAN-T160X230</t>
  </si>
  <si>
    <t>CIRTA-C84X2500</t>
  </si>
  <si>
    <t>DUBAI-T240X400</t>
  </si>
  <si>
    <t>AMIRA-T100X100</t>
  </si>
  <si>
    <t>RIMAS-C100X2000</t>
  </si>
  <si>
    <t>RIMAS-T200X150</t>
  </si>
  <si>
    <t>STORY-O160X230</t>
  </si>
  <si>
    <t>STORY-R160X160</t>
  </si>
  <si>
    <t>STORY-SO48X160</t>
  </si>
  <si>
    <t>INES-T200X400</t>
  </si>
  <si>
    <t>PLUME-C80X2000</t>
  </si>
  <si>
    <t>CORETE-T50X80</t>
  </si>
  <si>
    <t>PLAZA-SO180X130</t>
  </si>
  <si>
    <t>RIMAS-C100X1000</t>
  </si>
  <si>
    <t>MARAM-T240X400</t>
  </si>
  <si>
    <t>MAYSSA-C83X2000</t>
  </si>
  <si>
    <t>MAYSSA-T200X280</t>
  </si>
  <si>
    <t>RIMAS-C100X400</t>
  </si>
  <si>
    <t>RIMAS-C100X1500</t>
  </si>
  <si>
    <t>MIRABEL-C100X300</t>
  </si>
  <si>
    <t>CIRTA-C84X300</t>
  </si>
  <si>
    <t>CIRTA-C84X400</t>
  </si>
  <si>
    <t>MIRABEL-C100X200</t>
  </si>
  <si>
    <t>CIRTA-C84X500</t>
  </si>
  <si>
    <t>MIRABEL-T80X150</t>
  </si>
  <si>
    <t>MAYSSA-R150X150</t>
  </si>
  <si>
    <t>MIRABEL-T250X350</t>
  </si>
  <si>
    <t>BRAGA-T60X40</t>
  </si>
  <si>
    <t>BRAGA-C80X2000</t>
  </si>
  <si>
    <t>BRAGA-T160X230</t>
  </si>
  <si>
    <t>PLAZA-T160X230</t>
  </si>
  <si>
    <t>PLAZA-T240X400</t>
  </si>
  <si>
    <t>QUARTZ-MQT400X0</t>
  </si>
  <si>
    <t>QUARTZ-T40X60</t>
  </si>
  <si>
    <t>QUARTZ-T60X120</t>
  </si>
  <si>
    <t>QUARTZ-T120X60</t>
  </si>
  <si>
    <t>QUARTZ-T200X100</t>
  </si>
  <si>
    <t>QUARTZ-T220X220</t>
  </si>
  <si>
    <t>QUARTZ-T220X300</t>
  </si>
  <si>
    <t>QUARTZ-T280X100</t>
  </si>
  <si>
    <t>PALACE-T60X110</t>
  </si>
  <si>
    <t>PALACE-T160X220</t>
  </si>
  <si>
    <t>WISSEM-C80X400</t>
  </si>
  <si>
    <t>WISSEM-C80X300</t>
  </si>
  <si>
    <t>WISSEM-SO80X215</t>
  </si>
  <si>
    <t>EMIRAT-T200X280</t>
  </si>
  <si>
    <t>SISAL-T100X150</t>
  </si>
  <si>
    <t>WISSEM-S45X155</t>
  </si>
  <si>
    <t>WISSEM-S50X160</t>
  </si>
  <si>
    <t>WISSEM-S60X200</t>
  </si>
  <si>
    <t>ZINNIA-T40X120</t>
  </si>
  <si>
    <t>AMIRA-S49X235</t>
  </si>
  <si>
    <t>AMIRA-T50X80</t>
  </si>
  <si>
    <t>FAIROUZ-T200X280</t>
  </si>
  <si>
    <t>FINLAND-T100X150</t>
  </si>
  <si>
    <t>MAYSSA-O150X230</t>
  </si>
  <si>
    <t>OASIS-T200X280</t>
  </si>
  <si>
    <t>AMIRA-S60X170</t>
  </si>
  <si>
    <t>AMIRA-T120X160</t>
  </si>
  <si>
    <t>AMIRA-T160X200</t>
  </si>
  <si>
    <t>JAKARTA-T200X280</t>
  </si>
  <si>
    <t>MELODIE-C90X300</t>
  </si>
  <si>
    <t>MELODIE-C90X500</t>
  </si>
  <si>
    <t>MELODIE-T240X400</t>
  </si>
  <si>
    <t>AMIRA-T50X65</t>
  </si>
  <si>
    <t>NOUR-T250X500</t>
  </si>
  <si>
    <t>AMIRA-S45X155</t>
  </si>
  <si>
    <t>AMIRA-S50X160</t>
  </si>
  <si>
    <t>BRAGA-T65X100</t>
  </si>
  <si>
    <t>BRAGA-T75X120</t>
  </si>
  <si>
    <t>CIRTA-O65X100</t>
  </si>
  <si>
    <t>CIRTA-T60X150</t>
  </si>
  <si>
    <t>MELODIE-C90X2000</t>
  </si>
  <si>
    <t>PLAZA-T40X60</t>
  </si>
  <si>
    <t>PLAZA-C80X2000</t>
  </si>
  <si>
    <t>OMRA-MSQ66X0</t>
  </si>
  <si>
    <t>OLYMPIA-C80X2000</t>
  </si>
  <si>
    <t>WISSEM-C80X500</t>
  </si>
  <si>
    <t>WISSEM-S220X220</t>
  </si>
  <si>
    <t>WISSEM-T180X270</t>
  </si>
  <si>
    <t>RAZANE-C90X300</t>
  </si>
  <si>
    <t>WISSEM-SO50X270</t>
  </si>
  <si>
    <t>WISSEM-R80X80</t>
  </si>
  <si>
    <t>MARAM-C90X300</t>
  </si>
  <si>
    <t>LOLITE-T200X300</t>
  </si>
  <si>
    <t>ASTER-RGZ100X0</t>
  </si>
  <si>
    <t>AMIRA-T180X270</t>
  </si>
  <si>
    <t>STORY-C80X500</t>
  </si>
  <si>
    <t>VILLA-C80X300</t>
  </si>
  <si>
    <t>VILLA-R160X160</t>
  </si>
  <si>
    <t>VILLA-T160X210</t>
  </si>
  <si>
    <t>DUBAI-T50X60</t>
  </si>
  <si>
    <t>MARAM-C90X400</t>
  </si>
  <si>
    <t>MARAM-T130X220</t>
  </si>
  <si>
    <t>RIHAB-C100X2500</t>
  </si>
  <si>
    <t>MADRID-C100X2000</t>
  </si>
  <si>
    <t>MADRID-C80X2000</t>
  </si>
  <si>
    <t>VILLA-O120X160</t>
  </si>
  <si>
    <t>VILLA-T210X280</t>
  </si>
  <si>
    <t>ANKARA-O65X100</t>
  </si>
  <si>
    <t>ANKARA-T50X60</t>
  </si>
  <si>
    <t>FENNEC-T40X60</t>
  </si>
  <si>
    <t>ISHRAK-T66X110</t>
  </si>
  <si>
    <t>AL MAKKI-T66X110</t>
  </si>
  <si>
    <t>PLAZA-T190X290</t>
  </si>
  <si>
    <t>RIHAB-C100X2000</t>
  </si>
  <si>
    <t>WISSEM-C100X300</t>
  </si>
  <si>
    <t>ATAKOR-MQT400X0</t>
  </si>
  <si>
    <t>BISSAT-SO80X215</t>
  </si>
  <si>
    <t>STORY-S110X180</t>
  </si>
  <si>
    <t>STORY-C80X200</t>
  </si>
  <si>
    <t>YASMINE LUREX-T200X280</t>
  </si>
  <si>
    <t>AL BASSIRA-T50X60</t>
  </si>
  <si>
    <t>AL MANASSIK-T50X60</t>
  </si>
  <si>
    <t>FENNEC-C80X2000</t>
  </si>
  <si>
    <t>MERSIN-T50X60</t>
  </si>
  <si>
    <t>RAZANE-C90X500</t>
  </si>
  <si>
    <t>WISSEM-O120X160</t>
  </si>
  <si>
    <t>NAPOLI-T100X150</t>
  </si>
  <si>
    <t>STORY-SO50X270</t>
  </si>
  <si>
    <t>MANISA-T200X280</t>
  </si>
  <si>
    <t>OPAL-MS60X120</t>
  </si>
  <si>
    <t>OPAL-MS150X220</t>
  </si>
  <si>
    <t>VILLA-C105X300</t>
  </si>
  <si>
    <t>VILLA-C105X400</t>
  </si>
  <si>
    <t>PLUME-ETO155X284</t>
  </si>
  <si>
    <t>AMIRA-S57X200</t>
  </si>
  <si>
    <t>AGATE-T200X300</t>
  </si>
  <si>
    <t>ISHRAK-C100X300</t>
  </si>
  <si>
    <t>ISHRAK-C100X1500</t>
  </si>
  <si>
    <t>MANISA-S100X250</t>
  </si>
  <si>
    <t>OPAL-MQT355X0</t>
  </si>
  <si>
    <t>OPAL-MQT385X0</t>
  </si>
  <si>
    <t>OPAL-MS45X20</t>
  </si>
  <si>
    <t>OPAL-MS45X60</t>
  </si>
  <si>
    <t>OPAL-MS140X150</t>
  </si>
  <si>
    <t>OSLO-T200X280</t>
  </si>
  <si>
    <t>OZEL-C90X2000</t>
  </si>
  <si>
    <t>QAMAR-T200X275</t>
  </si>
  <si>
    <t>RIHAB-T200X150</t>
  </si>
  <si>
    <t>YASMINE LUREX-T160X230</t>
  </si>
  <si>
    <t>MANISA-SO100X250</t>
  </si>
  <si>
    <t>MARAM-C95X400</t>
  </si>
  <si>
    <t>SIRINE-C83X400</t>
  </si>
  <si>
    <t>YARA-T165X230</t>
  </si>
  <si>
    <t>YASMINE LUREX-T100X150</t>
  </si>
  <si>
    <t>YASMINE LUREX-T150X200</t>
  </si>
  <si>
    <t>ACACIA-T40X60</t>
  </si>
  <si>
    <t>AMIRA-S57X170</t>
  </si>
  <si>
    <t>BRAGA-O65X100</t>
  </si>
  <si>
    <t>BRAGA-T200X150</t>
  </si>
  <si>
    <t>JAKARTA-T65X100</t>
  </si>
  <si>
    <t>JAKARTA-T80X130</t>
  </si>
  <si>
    <t>PETRA-T200X150</t>
  </si>
  <si>
    <t>YASMINE LUREX-T60X90</t>
  </si>
  <si>
    <t>YASMINE LUREX-T120X170</t>
  </si>
  <si>
    <t>OPAL-MQT30X0</t>
  </si>
  <si>
    <t>ATAKOR-MQT200X0</t>
  </si>
  <si>
    <t>OPAL-MS10X150</t>
  </si>
  <si>
    <t>OPAL-MS10X3000</t>
  </si>
  <si>
    <t>SARAGOSSA-T200X150</t>
  </si>
  <si>
    <t>VALENCIA-T200X150</t>
  </si>
  <si>
    <t>YASMINE LUREX-T80X150</t>
  </si>
  <si>
    <t>VILLA-C100X300</t>
  </si>
  <si>
    <t>VILLA-C100X400</t>
  </si>
  <si>
    <t>VILLA-C100X500</t>
  </si>
  <si>
    <t>ASTER-T40X60</t>
  </si>
  <si>
    <t>ACACIA-T50X80</t>
  </si>
  <si>
    <t>AMIRA-C80X300</t>
  </si>
  <si>
    <t>CACTUS-T40X60</t>
  </si>
  <si>
    <t>CARVING-T200X280</t>
  </si>
  <si>
    <t>CORAIL-MQT400X0</t>
  </si>
  <si>
    <t>OZEL-T40X60</t>
  </si>
  <si>
    <t>YASMINE LUREX-T60X150</t>
  </si>
  <si>
    <t>MIRABEL-T50X80</t>
  </si>
  <si>
    <t>STORY-O50X80</t>
  </si>
  <si>
    <t>STORY-DO50X160</t>
  </si>
  <si>
    <t>STORY-O50X110</t>
  </si>
  <si>
    <t>VILLA-T40X60</t>
  </si>
  <si>
    <t>VILLA-T60X80</t>
  </si>
  <si>
    <t>MELODIE-C90X1000</t>
  </si>
  <si>
    <t>SIRINE-C100X300</t>
  </si>
  <si>
    <t>SIRINE-C125X500</t>
  </si>
  <si>
    <t>SIRINE-T60X110</t>
  </si>
  <si>
    <t>AGATE-T100X100</t>
  </si>
  <si>
    <t>AL MANASSIK-T100X100</t>
  </si>
  <si>
    <t>AMIRA-S50X280</t>
  </si>
  <si>
    <t>AMIRA-T45X40</t>
  </si>
  <si>
    <t>AMIRA-T45X75</t>
  </si>
  <si>
    <t>AMIRA-T50X40</t>
  </si>
  <si>
    <t>AMIRA-T57X40</t>
  </si>
  <si>
    <t>AMIRA-T57X120</t>
  </si>
  <si>
    <t>ANKARA-T100X130</t>
  </si>
  <si>
    <t>ELMAS-T100X100</t>
  </si>
  <si>
    <t>ILLIZI-DL60X220</t>
  </si>
  <si>
    <t>ISLANDA-T50X80</t>
  </si>
  <si>
    <t>MANISA-O60X100</t>
  </si>
  <si>
    <t>MARAM-T60X110</t>
  </si>
  <si>
    <t>OLYMPIA-T65X100</t>
  </si>
  <si>
    <t>OLYMPIA-T80X120</t>
  </si>
  <si>
    <t>OPAL-T40X60</t>
  </si>
  <si>
    <t>OPAL-T50X50</t>
  </si>
  <si>
    <t>OPAL-T100X100</t>
  </si>
  <si>
    <t>OZEL-T60X110</t>
  </si>
  <si>
    <t>PLAZA-O90X55</t>
  </si>
  <si>
    <t>PLUME-T65X100</t>
  </si>
  <si>
    <t>RAZANE-C80X400</t>
  </si>
  <si>
    <t>RAZANE-O130X160</t>
  </si>
  <si>
    <t>MERSIN-T300X400</t>
  </si>
  <si>
    <t>MIRAGE-S220X220</t>
  </si>
  <si>
    <t>MONACO-T60X110</t>
  </si>
  <si>
    <t>NIBRAS-MSQ133X950</t>
  </si>
  <si>
    <t>ACACIA-RGZ100X0</t>
  </si>
  <si>
    <t>AL GHOFRANE-T40X60</t>
  </si>
  <si>
    <t>ANOUAR-MQT125X0</t>
  </si>
  <si>
    <t>TADJ-MQT100X0</t>
  </si>
  <si>
    <t>TADJ-S100X137</t>
  </si>
  <si>
    <t>CORETE-T60X90</t>
  </si>
  <si>
    <t>VALENCIA-T60X100</t>
  </si>
  <si>
    <t>FREESIA-T40X60</t>
  </si>
  <si>
    <t>MADRID-T160X220</t>
  </si>
  <si>
    <t>MARBRE-T180X230</t>
  </si>
  <si>
    <t>OMRA-T133X200</t>
  </si>
  <si>
    <t>OSLO-T40X60</t>
  </si>
  <si>
    <t>YASMINE LUREX-O160X230</t>
  </si>
  <si>
    <t>YASMINE LUREX-R100X100</t>
  </si>
  <si>
    <t>YASMINE LUREX-R120X120</t>
  </si>
  <si>
    <t>ZIRCON-T40X60</t>
  </si>
  <si>
    <t>QUARTZ-T49X80</t>
  </si>
  <si>
    <t>STORY-SCR80X480</t>
  </si>
  <si>
    <t>ANNASR-T133X200</t>
  </si>
  <si>
    <t>KENZ-T165X230</t>
  </si>
  <si>
    <t>SISAL-T50X100</t>
  </si>
  <si>
    <t>YASMINE LUREX-T200X150</t>
  </si>
  <si>
    <t>EL BASMA-MSQ25X0</t>
  </si>
  <si>
    <t>EL BASMA-MSQ125X0</t>
  </si>
  <si>
    <t>AL WIFAQ-T133X67</t>
  </si>
  <si>
    <t>BAHDJA-T180X270</t>
  </si>
  <si>
    <t>OLYMPIA-T100X150</t>
  </si>
  <si>
    <t>SMART-S60X200</t>
  </si>
  <si>
    <t>SMART-SF45X186</t>
  </si>
  <si>
    <t>STORY-R80X80</t>
  </si>
  <si>
    <t>STORY-SCR80X380</t>
  </si>
  <si>
    <t>TEST</t>
  </si>
  <si>
    <t>ILLIZI-T60X110</t>
  </si>
  <si>
    <t>PLUME-C100X300</t>
  </si>
  <si>
    <t>SIRINE-O165X230</t>
  </si>
  <si>
    <t>STORY-SCR80X580</t>
  </si>
  <si>
    <t>AZUR-T200X280</t>
  </si>
  <si>
    <t>STORY-S180X190</t>
  </si>
  <si>
    <t>VILLA-C80X200</t>
  </si>
  <si>
    <t>VILLA-C80X400</t>
  </si>
  <si>
    <t>AMIRA-C80X500</t>
  </si>
  <si>
    <t>AMIRA-C80X400</t>
  </si>
  <si>
    <t>NEVADA-T200X280</t>
  </si>
  <si>
    <t>OZEL-T160X230</t>
  </si>
  <si>
    <t>YARA-O130X180</t>
  </si>
  <si>
    <t>YARA-R130X130</t>
  </si>
  <si>
    <t>YARA-T200X275</t>
  </si>
  <si>
    <t>PLAZA-T160X220</t>
  </si>
  <si>
    <t>AURINIA-MQT200X0</t>
  </si>
  <si>
    <t>KODIAK-T200X280</t>
  </si>
  <si>
    <t>MERSIN-O100X130</t>
  </si>
  <si>
    <t>NIHAL-T200X275</t>
  </si>
  <si>
    <t>PLAZA-O60X100</t>
  </si>
  <si>
    <t>RAZANE-C100X500</t>
  </si>
  <si>
    <t>SHEEP-T100X150</t>
  </si>
  <si>
    <t>SHEEP-T200X280</t>
  </si>
  <si>
    <t>KILIS-T160X230</t>
  </si>
  <si>
    <t>MERSIN-S180X130</t>
  </si>
  <si>
    <t>VILLA-T120X160</t>
  </si>
  <si>
    <t>VILLA-T130X180</t>
  </si>
  <si>
    <t>DAISY-T100X100</t>
  </si>
  <si>
    <t>SIRINE-C100X400</t>
  </si>
  <si>
    <t>TRENDY-T60X110</t>
  </si>
  <si>
    <t>RYMA-S50X160</t>
  </si>
  <si>
    <t>OZEL-ETO155X284</t>
  </si>
  <si>
    <t>OZEL-S100X235</t>
  </si>
  <si>
    <t>MANISA-S100X235</t>
  </si>
  <si>
    <t>AMIRA-T200X280</t>
  </si>
  <si>
    <t>FENNEC-T160X220</t>
  </si>
  <si>
    <t>ATAKOR-C85X2500</t>
  </si>
  <si>
    <t>SMART-T40X60</t>
  </si>
  <si>
    <t>QAMAR-S200X220</t>
  </si>
  <si>
    <t>IRON-T200X280</t>
  </si>
  <si>
    <t>SHEEP-S220X220</t>
  </si>
  <si>
    <t>SHEEP-S180X130</t>
  </si>
  <si>
    <t>FENNEC-S180X130</t>
  </si>
  <si>
    <t>RELAX-C105X1500</t>
  </si>
  <si>
    <t>TITANE-T200X280</t>
  </si>
  <si>
    <t>OZEL-S100X250</t>
  </si>
  <si>
    <t>RYMA-T57X40</t>
  </si>
  <si>
    <t>PLUME-S100X235</t>
  </si>
  <si>
    <t>KENZ-T200X275</t>
  </si>
  <si>
    <t>MERSIN-T160X230</t>
  </si>
  <si>
    <t>STORY-G160X160</t>
  </si>
  <si>
    <t>STORY-S60X200</t>
  </si>
  <si>
    <t>OZEL-T240X400</t>
  </si>
  <si>
    <t>KENZ-R130X130</t>
  </si>
  <si>
    <t>RIMEL-T240X330</t>
  </si>
  <si>
    <t>RIMEL-T180X270</t>
  </si>
  <si>
    <t>DESERT-T180X270</t>
  </si>
  <si>
    <t>DESERT-T240X400</t>
  </si>
  <si>
    <t>NOUR-S200X220</t>
  </si>
  <si>
    <t>MERSIN-C90X300</t>
  </si>
  <si>
    <t>SUMMER-S180X130</t>
  </si>
  <si>
    <t>AGATE-O120X160</t>
  </si>
  <si>
    <t>SUMMER-T65X100</t>
  </si>
  <si>
    <t>IXORA-RGZ100X0</t>
  </si>
  <si>
    <t>EMOJI-T200X280</t>
  </si>
  <si>
    <t>RIZE-T200X280</t>
  </si>
  <si>
    <t>SUMMER-T120X170</t>
  </si>
  <si>
    <t>AURINIA-T40X60</t>
  </si>
  <si>
    <t>SUMMER-T160X220</t>
  </si>
  <si>
    <t>STORY-O160X210</t>
  </si>
  <si>
    <t>IXORA-RGZ200X0</t>
  </si>
  <si>
    <t>SHEEP-T160X230</t>
  </si>
  <si>
    <t>OZEL-T150X220</t>
  </si>
  <si>
    <t>DESERT-T210X270</t>
  </si>
  <si>
    <t>OLYMPIA-ETO155X284</t>
  </si>
  <si>
    <t>OLYMPIA-S210X230</t>
  </si>
  <si>
    <t>OZEL-S220X220</t>
  </si>
  <si>
    <t>KENZ-S130X180</t>
  </si>
  <si>
    <t>KENZ-T300X400</t>
  </si>
  <si>
    <t>MANISA-T250X400</t>
  </si>
  <si>
    <t>OLYMPIA-E150X340</t>
  </si>
  <si>
    <t>PLUME-S210X230</t>
  </si>
  <si>
    <t>STORY-S160X270</t>
  </si>
  <si>
    <t>CARPETTE-T270</t>
  </si>
  <si>
    <t>SNOW-T200X280</t>
  </si>
  <si>
    <t>QAMAR-C100X2000</t>
  </si>
  <si>
    <t>DUBAI-S100X250</t>
  </si>
  <si>
    <t>CARPETTE-T350</t>
  </si>
  <si>
    <t>AGATE-T50X80</t>
  </si>
  <si>
    <t>AMIRA-T40X120</t>
  </si>
  <si>
    <t>SIRINE-T140X220</t>
  </si>
  <si>
    <t>AGATE-T40X60</t>
  </si>
  <si>
    <t>AL RAWDA-T66X110</t>
  </si>
  <si>
    <t>AMIRA-T160X210</t>
  </si>
  <si>
    <t>BRAGA-T160X220</t>
  </si>
  <si>
    <t>WISSAL-T66X35</t>
  </si>
  <si>
    <t>EMOJI-S180X130</t>
  </si>
  <si>
    <t>EMOJI-S220X220</t>
  </si>
  <si>
    <t>MERSIN-T80X130</t>
  </si>
  <si>
    <t>RIMEL-T240X400</t>
  </si>
  <si>
    <t>SUMMER-T200X280</t>
  </si>
  <si>
    <t>AL MANASSIK-MS400X250</t>
  </si>
  <si>
    <t>AMIRA-T66X145</t>
  </si>
  <si>
    <t>BRAGA-T60X110</t>
  </si>
  <si>
    <t>GIZA-T100X150</t>
  </si>
  <si>
    <t>PALMA-SO180X130</t>
  </si>
  <si>
    <t>PONEY-T60X40</t>
  </si>
  <si>
    <t>SARAH CARVING-T100X150</t>
  </si>
  <si>
    <t>VINTAGE-T100X150</t>
  </si>
  <si>
    <t>STORY-T60X110</t>
  </si>
  <si>
    <t>CARPETTE-T600 T40X60</t>
  </si>
  <si>
    <t>CARPETTE-T200</t>
  </si>
  <si>
    <t>PLAZA-ETO155X284</t>
  </si>
  <si>
    <t>EMOJI-ETO155X284</t>
  </si>
  <si>
    <t>MADRID-E155X284</t>
  </si>
  <si>
    <t>MANISA-T160X230</t>
  </si>
  <si>
    <t>NIHAL-T200X400</t>
  </si>
  <si>
    <t>AVILA-T200X280</t>
  </si>
  <si>
    <t>MANISA-SO180X130</t>
  </si>
  <si>
    <t>SALAYA-T125X67</t>
  </si>
  <si>
    <t>RESEDA-RGZ100X0</t>
  </si>
  <si>
    <t>RESEDA-RGZ200X0</t>
  </si>
  <si>
    <t>FAST.A.C.4011-T40X60</t>
  </si>
  <si>
    <t>EMOJI-SO180X130</t>
  </si>
  <si>
    <t>ANKARA-SO100X235</t>
  </si>
  <si>
    <t>EMOJI-T160X220</t>
  </si>
  <si>
    <t>EMOJI-T240X400</t>
  </si>
  <si>
    <t>MANISA-S180X130</t>
  </si>
  <si>
    <t>PLAZA-SO100X235</t>
  </si>
  <si>
    <t>MANISA-S220X220</t>
  </si>
  <si>
    <t>MANISA-SO100X235</t>
  </si>
  <si>
    <t>NOMADE-T200X280</t>
  </si>
  <si>
    <t>PLAZA-O80X130</t>
  </si>
  <si>
    <t>DESERT-T150X220</t>
  </si>
  <si>
    <t>MADY-T160X230</t>
  </si>
  <si>
    <t>MANISA-T60X110</t>
  </si>
  <si>
    <t>MANISA-T65X100</t>
  </si>
  <si>
    <t>NOMADE-T200X150</t>
  </si>
  <si>
    <t>SARAH CARVING-T160X230</t>
  </si>
  <si>
    <t>LYNA-T180X270</t>
  </si>
  <si>
    <t>NOMADE-T160X230</t>
  </si>
  <si>
    <t>NOMADE-T200X290</t>
  </si>
  <si>
    <t>OSLO-S180X130</t>
  </si>
  <si>
    <t>ARUM-SF45X155</t>
  </si>
  <si>
    <t>MERSIN-T60X100</t>
  </si>
  <si>
    <t>NOMADE-T120X170</t>
  </si>
  <si>
    <t>OSLO-S220X220</t>
  </si>
  <si>
    <t>PLAZA-O65X100</t>
  </si>
  <si>
    <t>BRAGA-O80X130</t>
  </si>
  <si>
    <t>MANISA-C100X2000</t>
  </si>
  <si>
    <t>PLAZA-T300X400</t>
  </si>
  <si>
    <t>CARPETTE-T300</t>
  </si>
  <si>
    <t>CITY-S180X130</t>
  </si>
  <si>
    <t>VALENCIA-T180X230</t>
  </si>
  <si>
    <t>RESEDA-T40X60</t>
  </si>
  <si>
    <t>EMOJI-S100X235</t>
  </si>
  <si>
    <t>AMIRA-R120X120</t>
  </si>
  <si>
    <t>ANKARA-S100X235</t>
  </si>
  <si>
    <t>DUBAI-T60X110</t>
  </si>
  <si>
    <t>MADRID-T60X110</t>
  </si>
  <si>
    <t>MANISA-C100X300</t>
  </si>
  <si>
    <t>MORGAN STAR-T100X150</t>
  </si>
  <si>
    <t>NOMADE-T100X150</t>
  </si>
  <si>
    <t>NOMADE-T200X270</t>
  </si>
  <si>
    <t>NOMADE-T200X310</t>
  </si>
  <si>
    <t>RYMA-S57X170</t>
  </si>
  <si>
    <t>PLAZA-C100X300</t>
  </si>
  <si>
    <t>SIRINE-R160X160</t>
  </si>
  <si>
    <t>WARM-T200X280</t>
  </si>
  <si>
    <t>AL RAWDA-T100X150</t>
  </si>
  <si>
    <t>CHROME-T132X180</t>
  </si>
  <si>
    <t>SISAL-T50X60</t>
  </si>
  <si>
    <t>LIKE-T200X280</t>
  </si>
  <si>
    <t>PONEY-T100X150</t>
  </si>
  <si>
    <t>VERDURE-RGZ200X0</t>
  </si>
  <si>
    <t>VERDURE-RGZ100X0</t>
  </si>
  <si>
    <t>STORY-SF45X186</t>
  </si>
  <si>
    <t>VILLA-O50X80</t>
  </si>
  <si>
    <t>AL WIFAQ-MSQ133X0</t>
  </si>
  <si>
    <t>DJEDDAH-T100X100</t>
  </si>
  <si>
    <t>FRANCISCO-T200X280</t>
  </si>
  <si>
    <t>MORGAN STAR-T120X170</t>
  </si>
  <si>
    <t>MORGAN STAR-T160X230</t>
  </si>
  <si>
    <t>RYMA-T40X60</t>
  </si>
  <si>
    <t>SARAH CARVING-T120X170</t>
  </si>
  <si>
    <t>SHEEP-SO180X130</t>
  </si>
  <si>
    <t>SALAYA-T133X67</t>
  </si>
  <si>
    <t>MANISA-T160X220</t>
  </si>
  <si>
    <t>SPACE-T200X290</t>
  </si>
  <si>
    <t>DESERT-T60X110</t>
  </si>
  <si>
    <t>DESERT-T240X330</t>
  </si>
  <si>
    <t>HANA-T160X230</t>
  </si>
  <si>
    <t>ISHRAK-C100X2500</t>
  </si>
  <si>
    <t>MADY-T100X150</t>
  </si>
  <si>
    <t>SARAH CARVING-F265X400</t>
  </si>
  <si>
    <t>SISAL-R100X100</t>
  </si>
  <si>
    <t>SISAL-T100X100</t>
  </si>
  <si>
    <t>TAKSIM-S100X250</t>
  </si>
  <si>
    <t>TERRA-T100X150</t>
  </si>
  <si>
    <t>VALENCE-T100X150</t>
  </si>
  <si>
    <t>WINTER-T100X150</t>
  </si>
  <si>
    <t>MANISA-C100X2500</t>
  </si>
  <si>
    <t>STORY-T45X48</t>
  </si>
  <si>
    <t>STORY-S60X185</t>
  </si>
  <si>
    <t>AMIRA-DL57X200</t>
  </si>
  <si>
    <t>OLYMPIA-T155X220</t>
  </si>
  <si>
    <t>NOMADE-T40X60</t>
  </si>
  <si>
    <t>NOMADE-T160X220</t>
  </si>
  <si>
    <t>CITY-T200X150</t>
  </si>
  <si>
    <t>RIVIERA-MQT200X0</t>
  </si>
  <si>
    <t>KENZ-SO130X180</t>
  </si>
  <si>
    <t>MADRID-S100X235</t>
  </si>
  <si>
    <t>STORY-T45X90</t>
  </si>
  <si>
    <t>STORY-T60X120</t>
  </si>
  <si>
    <t>KENZ-O65X100</t>
  </si>
  <si>
    <t>STORY-T50X80</t>
  </si>
  <si>
    <t>STORY-R120X120</t>
  </si>
  <si>
    <t>STORY-SF60X170</t>
  </si>
  <si>
    <t>STORY-T60X105</t>
  </si>
  <si>
    <t>OLYMPIA-MQT400X0</t>
  </si>
  <si>
    <t>ANKARA-T250X250</t>
  </si>
  <si>
    <t>AMAZING-T200X280</t>
  </si>
  <si>
    <t>KILIM-T200X280</t>
  </si>
  <si>
    <t>STORY-T180X350</t>
  </si>
  <si>
    <t>EMOJI-T65X100</t>
  </si>
  <si>
    <t>MANISA-C80X2000</t>
  </si>
  <si>
    <t>EMOJI-T60X110</t>
  </si>
  <si>
    <t>MISSISSIPPI-T200X280</t>
  </si>
  <si>
    <t>CARPETTE-T160</t>
  </si>
  <si>
    <t>PLUME-C100X1000</t>
  </si>
  <si>
    <t>BRAGA-T80X130</t>
  </si>
  <si>
    <t>DESERT-C84X300</t>
  </si>
  <si>
    <t>DESERT-C84X500</t>
  </si>
  <si>
    <t>ES SAKINA-T125X67</t>
  </si>
  <si>
    <t>MAWADA-T125X67</t>
  </si>
  <si>
    <t>RIMEL-C80X500</t>
  </si>
  <si>
    <t>STORY-T80X115</t>
  </si>
  <si>
    <t>ANKARA-T60X100</t>
  </si>
  <si>
    <t>DESERT-C84X400</t>
  </si>
  <si>
    <t>GERONA-T200X280</t>
  </si>
  <si>
    <t>MANISA-O100X55</t>
  </si>
  <si>
    <t>MANISA-O100X125</t>
  </si>
  <si>
    <t>MELODIE-T250X400</t>
  </si>
  <si>
    <t>HADIL-T200X275</t>
  </si>
  <si>
    <t>SHEEP-T60X100</t>
  </si>
  <si>
    <t>EMOJI-T65X110</t>
  </si>
  <si>
    <t>MANISA-O55X100</t>
  </si>
  <si>
    <t>MARAM-T250X400</t>
  </si>
  <si>
    <t>MELODIE-C80X2000</t>
  </si>
  <si>
    <t>NEVADA-SO180X130</t>
  </si>
  <si>
    <t>SPACE-S180X130</t>
  </si>
  <si>
    <t>MELODIE-T300X400</t>
  </si>
  <si>
    <t>MADRID-SO100X235</t>
  </si>
  <si>
    <t>OZEL-SO100X235</t>
  </si>
  <si>
    <t>AMIRA-SF45X155</t>
  </si>
  <si>
    <t>BERBER-T200X150</t>
  </si>
  <si>
    <t>HADIL-T150X200</t>
  </si>
  <si>
    <t>TINA CREUSE-F200X150</t>
  </si>
  <si>
    <t>OLYMPIA-MQT300X0</t>
  </si>
  <si>
    <t>AMIRA-SF57X170</t>
  </si>
  <si>
    <t>BERBER-T230X160</t>
  </si>
  <si>
    <t>LYNA-MS300X450</t>
  </si>
  <si>
    <t>WISSEM-MQT200X0</t>
  </si>
  <si>
    <t>AL WIFAQ-T100X100</t>
  </si>
  <si>
    <t>AMIRA-SF49X160</t>
  </si>
  <si>
    <t>ISHRAK-T60X110</t>
  </si>
  <si>
    <t>KIM-T60X90</t>
  </si>
  <si>
    <t>KIM-T80X150</t>
  </si>
  <si>
    <t>KIM-T120X170</t>
  </si>
  <si>
    <t>KIM-T200X150</t>
  </si>
  <si>
    <t>KIMA-T60X115</t>
  </si>
  <si>
    <t>KIMA-T200X150</t>
  </si>
  <si>
    <t>MAWADA-MSQ125X0</t>
  </si>
  <si>
    <t>OZEL-T100X55</t>
  </si>
  <si>
    <t>OZEL-T100X125</t>
  </si>
  <si>
    <t>SARAH CARVING-T230X160</t>
  </si>
  <si>
    <t>SPACE-T160X230</t>
  </si>
  <si>
    <t>TINA CREUSE-F230X160</t>
  </si>
  <si>
    <t>TINA CREUSE-T160X230</t>
  </si>
  <si>
    <t>TAPIS LENA-T160X230</t>
  </si>
  <si>
    <t>RYMA-T50X80</t>
  </si>
  <si>
    <t>MISSISSIPPI-T200X150</t>
  </si>
  <si>
    <t>KIM-T160X230</t>
  </si>
  <si>
    <t>CHAMS-T200X275</t>
  </si>
  <si>
    <t>MADY-T150X200</t>
  </si>
  <si>
    <t>CAMILA LUREX-T200X150</t>
  </si>
  <si>
    <t>TINA CREUSE-T150X200</t>
  </si>
  <si>
    <t>TINA CREUSE-T200X150</t>
  </si>
  <si>
    <t>DINA-T200X290</t>
  </si>
  <si>
    <t>ORION-T200X150</t>
  </si>
  <si>
    <t>TINA CREUSE-T230X160</t>
  </si>
  <si>
    <t>BERBER-T200X290</t>
  </si>
  <si>
    <t>MADY-T230X160</t>
  </si>
  <si>
    <t>SARAH CARVING-T150X200</t>
  </si>
  <si>
    <t>HADIL-T200X150</t>
  </si>
  <si>
    <t>OZEL-S180X130</t>
  </si>
  <si>
    <t>AL MANASSIK-MS400X600</t>
  </si>
  <si>
    <t>ALICANTE-T200X280</t>
  </si>
  <si>
    <t>DIAMANTINE-T200X280</t>
  </si>
  <si>
    <t>DINA-T230X160</t>
  </si>
  <si>
    <t>DINA-T160X230</t>
  </si>
  <si>
    <t>KARS-T200X280</t>
  </si>
  <si>
    <t>MERSIN-S100X235</t>
  </si>
  <si>
    <t>NOMADE-T240X400</t>
  </si>
  <si>
    <t>OZEL-O110X170</t>
  </si>
  <si>
    <t>FLORY-T200X280</t>
  </si>
  <si>
    <t>SPACE-S220X220</t>
  </si>
  <si>
    <t>STORY-O45X60</t>
  </si>
  <si>
    <t>STORY-SO60X170</t>
  </si>
  <si>
    <t>MISSISSIPPI-S100X235</t>
  </si>
  <si>
    <t>OMEGA-T200X275</t>
  </si>
  <si>
    <t>PRESENTOIR POUR COULOIR TISSE-TEUFTE LAMINATION REF KY3</t>
  </si>
  <si>
    <t>PRESENTOIR MOQUETTE TISSE-TEUFTE REF RLS13</t>
  </si>
  <si>
    <t>MADRID-S100X250</t>
  </si>
  <si>
    <t>RIVIERA-T200X280</t>
  </si>
  <si>
    <t>MORJANE-T200X275</t>
  </si>
  <si>
    <t>MERSIN-T500X400</t>
  </si>
  <si>
    <t>ARUM-T40X60</t>
  </si>
  <si>
    <t>STORY-T50X80-RE000</t>
  </si>
  <si>
    <t>GERONA-S200X220</t>
  </si>
  <si>
    <t>MUSCARI-MQT200X0</t>
  </si>
  <si>
    <t>PLAZA-C100X2000</t>
  </si>
  <si>
    <t>ILLIZI-S60X120</t>
  </si>
  <si>
    <t>ORION-F200X150</t>
  </si>
  <si>
    <t>HAMBARA-T200X280</t>
  </si>
  <si>
    <t>STORY-C100X400</t>
  </si>
  <si>
    <t>MAHA-T200X280</t>
  </si>
  <si>
    <t>MANISA-MQT200X0</t>
  </si>
  <si>
    <t>OLYMPIA-S100X235</t>
  </si>
  <si>
    <t>PLAZA-MQT200X0</t>
  </si>
  <si>
    <t>KIMA-T100X150</t>
  </si>
  <si>
    <t>KIMA-T150X200</t>
  </si>
  <si>
    <t>MAHA-T240X400</t>
  </si>
  <si>
    <t>DINA CARVING-T230X160</t>
  </si>
  <si>
    <t>MANISA-T100X55</t>
  </si>
  <si>
    <t>PLAZA-S100X235</t>
  </si>
  <si>
    <t>BOUROUJ-T133X67</t>
  </si>
  <si>
    <t>NOUR-C85X2000</t>
  </si>
  <si>
    <t>AZURITE-T100X100</t>
  </si>
  <si>
    <t>STORY-S80X215</t>
  </si>
  <si>
    <t>STORY-T240X400</t>
  </si>
  <si>
    <t>MAHA-T200X290</t>
  </si>
  <si>
    <t>ES SAKINA-MSQ125X0</t>
  </si>
  <si>
    <t>MAHA-T160X230</t>
  </si>
  <si>
    <t>SPACE-T100X150</t>
  </si>
  <si>
    <t>ABHA-T200X280</t>
  </si>
  <si>
    <t>GAMMA-T200X275</t>
  </si>
  <si>
    <t>CITRINE-MQT200X0</t>
  </si>
  <si>
    <t>AMIRA-T45X70</t>
  </si>
  <si>
    <t>AMIRA-T57X90</t>
  </si>
  <si>
    <t>RYMA-T57X120</t>
  </si>
  <si>
    <t>SNOW-O65X100</t>
  </si>
  <si>
    <t>PREMIUM-G80X80</t>
  </si>
  <si>
    <t>PREMIUM-H80X80</t>
  </si>
  <si>
    <t>PREMIUM-T180X270</t>
  </si>
  <si>
    <t>BOUROUJ-MSQ133X0</t>
  </si>
  <si>
    <t>COLORADO-T120X170</t>
  </si>
  <si>
    <t>COLORADO-T160X230</t>
  </si>
  <si>
    <t>ISHRAK-S200X220</t>
  </si>
  <si>
    <t>MAHA-T120X170</t>
  </si>
  <si>
    <t>SPACE-S100X235</t>
  </si>
  <si>
    <t>LYNA EVENT-T50X100</t>
  </si>
  <si>
    <t>LYNA-T100X100</t>
  </si>
  <si>
    <t>LYNA EVENT-T140X100</t>
  </si>
  <si>
    <t>NOMADE-S220X220</t>
  </si>
  <si>
    <t>RELAX-C105X2500</t>
  </si>
  <si>
    <t>AUTRICHE-S220X220</t>
  </si>
  <si>
    <t>MANISA-T100X125</t>
  </si>
  <si>
    <t>OLYMPIA-SO100X235</t>
  </si>
  <si>
    <t>AL WIFAQ-T133X200</t>
  </si>
  <si>
    <t>ANHAR-T133X200</t>
  </si>
  <si>
    <t>ISHRAK-C100X400</t>
  </si>
  <si>
    <t>LYNA-C120X2500</t>
  </si>
  <si>
    <t>SAJDA-MSQ133X0</t>
  </si>
  <si>
    <t>SPACE-T100X125</t>
  </si>
  <si>
    <t>ANKARA-T210X225</t>
  </si>
  <si>
    <t>ANKARA-T210X300</t>
  </si>
  <si>
    <t>MAHA-T200X150</t>
  </si>
  <si>
    <t>SPACE-T120X170</t>
  </si>
  <si>
    <t>MANISA-E155X284</t>
  </si>
  <si>
    <t>NOMADE-S100X235</t>
  </si>
  <si>
    <t>DESERT-S210X220</t>
  </si>
  <si>
    <t>HADIL-T100X150</t>
  </si>
  <si>
    <t>STORY-T80X160</t>
  </si>
  <si>
    <t>ARUM-T45X40</t>
  </si>
  <si>
    <t>ARUM-T45X70</t>
  </si>
  <si>
    <t>COLORADO-T200X280</t>
  </si>
  <si>
    <t>LAYEL-SO80X215</t>
  </si>
  <si>
    <t>NORSINE-S57X200</t>
  </si>
  <si>
    <t>TITHONIA-MQT200X0</t>
  </si>
  <si>
    <t>COLORADO-E155X284</t>
  </si>
  <si>
    <t>NOMADE-S180X130</t>
  </si>
  <si>
    <t>RIMAS-C100X500</t>
  </si>
  <si>
    <t>ZINNIA PROTECT-MQT200X0</t>
  </si>
  <si>
    <t>AQUA-T200X280</t>
  </si>
  <si>
    <t>AUTHENTIC-T200X280</t>
  </si>
  <si>
    <t>LYS-T40X60</t>
  </si>
  <si>
    <t>NOMADE-T65X100</t>
  </si>
  <si>
    <t>TAHITI-T200X290</t>
  </si>
  <si>
    <t>SPACE-T80X150</t>
  </si>
  <si>
    <t>COLORADO-T155X220</t>
  </si>
  <si>
    <t>NOMADE-T60X110</t>
  </si>
  <si>
    <t>RELAX-C120X500</t>
  </si>
  <si>
    <t>HAWAI-T160X230</t>
  </si>
  <si>
    <t>LAMIS-T200X280</t>
  </si>
  <si>
    <t>CIRTA-C100X2000</t>
  </si>
  <si>
    <t>MAHA-S100X235</t>
  </si>
  <si>
    <t>RELAX-C120X2000</t>
  </si>
  <si>
    <t>KENZ-T200X400</t>
  </si>
  <si>
    <t>NOMADE-T150X220</t>
  </si>
  <si>
    <t>AZURITE-MQT200X0</t>
  </si>
  <si>
    <t>NOMADE-C90X2000</t>
  </si>
  <si>
    <t>SPACE-S80X240</t>
  </si>
  <si>
    <t>STORY-T100X150</t>
  </si>
  <si>
    <t>MANISA-T155X220</t>
  </si>
  <si>
    <t>ANKARA-T100X100</t>
  </si>
  <si>
    <t>RIMAS-T40X60</t>
  </si>
  <si>
    <t>AL JOUD-MSQ133X0</t>
  </si>
  <si>
    <t>ECLAT-T200X280</t>
  </si>
  <si>
    <t>YARA-S100X235</t>
  </si>
  <si>
    <t>STORY-T40X60-RE000</t>
  </si>
  <si>
    <t>STORY-S160X180</t>
  </si>
  <si>
    <t>KENZ-T200X165</t>
  </si>
  <si>
    <t>YARA-T200X165</t>
  </si>
  <si>
    <t>RYMA-SF45X155</t>
  </si>
  <si>
    <t>RYMA-SF57X170</t>
  </si>
  <si>
    <t>DINA CARVING-T160X230</t>
  </si>
  <si>
    <t>LAMIS-T200X275</t>
  </si>
  <si>
    <t>KENZ-O80X130</t>
  </si>
  <si>
    <t>PLAZA-C80X300</t>
  </si>
  <si>
    <t>PLAZA-MQT400X0</t>
  </si>
  <si>
    <t>SPACE-E160X316</t>
  </si>
  <si>
    <t>PALACE-C100X2000</t>
  </si>
  <si>
    <t>AZUR-MQT200X0</t>
  </si>
  <si>
    <t>AMIRA-T49X80</t>
  </si>
  <si>
    <t>BUENA-T60X110</t>
  </si>
  <si>
    <t>NOMADE-T300X400</t>
  </si>
  <si>
    <t>USHRAK-C100X500</t>
  </si>
  <si>
    <t>NOMADE-C100X2000</t>
  </si>
  <si>
    <t>LUMI-MQT200X0</t>
  </si>
  <si>
    <t>LAMIS-MSQ133X0</t>
  </si>
  <si>
    <t>ALAA-T133X200</t>
  </si>
  <si>
    <t>ALICANTE-T40X60</t>
  </si>
  <si>
    <t>AQUA-T150X200</t>
  </si>
  <si>
    <t>ARUM-T40X60-RE000</t>
  </si>
  <si>
    <t>AUTHENTIC-T40X60</t>
  </si>
  <si>
    <t>AUTHENTIC-T60X40</t>
  </si>
  <si>
    <t>KENZ-T200X150</t>
  </si>
  <si>
    <t>LUXURIA-T200X150</t>
  </si>
  <si>
    <t>LUXURIA-T200X195</t>
  </si>
  <si>
    <t>LUXURIA-T200X275</t>
  </si>
  <si>
    <t>MANISA-T40X60</t>
  </si>
  <si>
    <t>NOMADE-T45X60</t>
  </si>
  <si>
    <t>VERA-T150X200</t>
  </si>
  <si>
    <t>VERA-T150X230</t>
  </si>
  <si>
    <t>OLYMPIA-C100X2000</t>
  </si>
  <si>
    <t>ALICANTE-S100X235</t>
  </si>
  <si>
    <t>BRAGA-O90X55</t>
  </si>
  <si>
    <t>BRAGA-T155X220</t>
  </si>
  <si>
    <t>ECLAT-S80X240</t>
  </si>
  <si>
    <t>ECLAT-T160X220</t>
  </si>
  <si>
    <t>KARS-T80X120</t>
  </si>
  <si>
    <t>KIM-T200X290</t>
  </si>
  <si>
    <t>KIMA-R120X120</t>
  </si>
  <si>
    <t>LAMIS-MS245X360</t>
  </si>
  <si>
    <t>LATINO-T150X200</t>
  </si>
  <si>
    <t>MAHASSIN-T125X67</t>
  </si>
  <si>
    <t>MELODIE-C95X1500</t>
  </si>
  <si>
    <t>RIHANA-T50X80</t>
  </si>
  <si>
    <t>PLAZA-T150X200</t>
  </si>
  <si>
    <t>REGAL-T200X280</t>
  </si>
  <si>
    <t>TAGHIT-T150X200</t>
  </si>
  <si>
    <t>OMEGA-T200X150</t>
  </si>
  <si>
    <t>LAMIS-MQT200X0</t>
  </si>
  <si>
    <t>MAHA-T100X150</t>
  </si>
  <si>
    <t>AL JOUD-T40X60-RE000</t>
  </si>
  <si>
    <t>OMEGA-S100X235</t>
  </si>
  <si>
    <t>SPACE-DL60X230</t>
  </si>
  <si>
    <t>CITRINE-MS133X1700</t>
  </si>
  <si>
    <t>OMEGA-T100X55</t>
  </si>
  <si>
    <t>OMEGA-T100X125</t>
  </si>
  <si>
    <t>TRESOR-SF195X53</t>
  </si>
  <si>
    <t>FENNEC-MQT200X0</t>
  </si>
  <si>
    <t>MANISA-O100X130</t>
  </si>
  <si>
    <t>OMEGA-C100X2000</t>
  </si>
  <si>
    <t>PLAZA-O100X55</t>
  </si>
  <si>
    <t>PLAZA-T100X125</t>
  </si>
  <si>
    <t>AL MANASSIK-MS8X2400</t>
  </si>
  <si>
    <t>AL MANASSIK-MS400X800</t>
  </si>
  <si>
    <t>MELODIE-C90X1500</t>
  </si>
  <si>
    <t>NOUR-MQT250X0</t>
  </si>
  <si>
    <t>SCANDINAVE-S60X200</t>
  </si>
  <si>
    <t>PALACE-C80X2000</t>
  </si>
  <si>
    <t>PALACE-E155X284</t>
  </si>
  <si>
    <t>NOMADE-MS240X520</t>
  </si>
  <si>
    <t>AL MIFTAH-MSQ133X0</t>
  </si>
  <si>
    <t>NOMADE-MQT300X0</t>
  </si>
  <si>
    <t>AL MANASSIK-MS400X400</t>
  </si>
  <si>
    <t>ECLAT-MQT400X0</t>
  </si>
  <si>
    <t>STORY-T120X180</t>
  </si>
  <si>
    <t>MANISA-MQT400X0</t>
  </si>
  <si>
    <t>TRSOR-T53X400</t>
  </si>
  <si>
    <t>TRESOR-T53X160</t>
  </si>
  <si>
    <t>TRESOR-T40X60</t>
  </si>
  <si>
    <t>TRESOR-T53X40</t>
  </si>
  <si>
    <t>TRESOR-T180X270</t>
  </si>
  <si>
    <t>TRESOR-T53X120</t>
  </si>
  <si>
    <t>TRESOR-F53X45</t>
  </si>
  <si>
    <t>TRESOR-T160X210</t>
  </si>
  <si>
    <t>DESERT-T60X150</t>
  </si>
  <si>
    <t>LUXURIA-S100X235</t>
  </si>
  <si>
    <t>NOMADE-MQT400X0</t>
  </si>
  <si>
    <t>CORETE-RGZ60X0</t>
  </si>
  <si>
    <t>OSLO-MQT200X0</t>
  </si>
  <si>
    <t>ELVIRA-T200X280</t>
  </si>
  <si>
    <t>PALACE-S100X235</t>
  </si>
  <si>
    <t>PLAZA-S200X220</t>
  </si>
  <si>
    <t>AURELIA-T200X275</t>
  </si>
  <si>
    <t>IMPACT-T200X280</t>
  </si>
  <si>
    <t>PLAZA-T250X400</t>
  </si>
  <si>
    <t>GALATA-MQT400X0</t>
  </si>
  <si>
    <t>WOROUD-T150X220</t>
  </si>
  <si>
    <t>AMIRA-O80X115</t>
  </si>
  <si>
    <t>MELODIE-T190X400</t>
  </si>
  <si>
    <t>NOMADE-SO180X130</t>
  </si>
  <si>
    <t>GALATA-S80X240</t>
  </si>
  <si>
    <t>CORETE-RGZ50X0</t>
  </si>
  <si>
    <t>LUXURIA-T100X55</t>
  </si>
  <si>
    <t>NOMADE-T100X55</t>
  </si>
  <si>
    <t>BAHDJA-T140X170</t>
  </si>
  <si>
    <t>CITRINE-T100X100</t>
  </si>
  <si>
    <t>AL WIFAQ-MS400X665</t>
  </si>
  <si>
    <t>AL WIFAQ-MS66X2300</t>
  </si>
  <si>
    <t>RYMA-R80X80</t>
  </si>
  <si>
    <t>NOMADE-S80X240</t>
  </si>
  <si>
    <t>PLAZA-T155X220</t>
  </si>
  <si>
    <t>RYMA-O80X115</t>
  </si>
  <si>
    <t>ECLAT-MQT200X0</t>
  </si>
  <si>
    <t>KODIAK-T160X230</t>
  </si>
  <si>
    <t>PLAZA-T100X55</t>
  </si>
  <si>
    <t>SNOW-E155X284</t>
  </si>
  <si>
    <t>SNOW-T160X220</t>
  </si>
  <si>
    <t>AURELIA-T200X150</t>
  </si>
  <si>
    <t>ECLAT-T80X60</t>
  </si>
  <si>
    <t>KODIAK-S80X240</t>
  </si>
  <si>
    <t>NUSSUK-MSQ133X0</t>
  </si>
  <si>
    <t>SNOW-S80X240</t>
  </si>
  <si>
    <t>FROST-T160X210</t>
  </si>
  <si>
    <t>MISSISSIPPI-S180X130</t>
  </si>
  <si>
    <t>MISSISSIPPI-S220X220</t>
  </si>
  <si>
    <t>ECLAT-E155X284</t>
  </si>
  <si>
    <t>HOSTA-RGZ100X0</t>
  </si>
  <si>
    <t>PLUME-E150X373</t>
  </si>
  <si>
    <t>TRESOR-T53X60</t>
  </si>
  <si>
    <t>LAMIS-SF50X135</t>
  </si>
  <si>
    <t>LYNA-SF50X135</t>
  </si>
  <si>
    <t>ELVIRA-MQT400X0</t>
  </si>
  <si>
    <t>AL MANASSIK-MS400X200</t>
  </si>
  <si>
    <t>AL MANASSIK-MS66X750</t>
  </si>
  <si>
    <t>FRIO-T160X210</t>
  </si>
  <si>
    <t>FROST-SF80X220</t>
  </si>
  <si>
    <t>FRIO-SF80X220</t>
  </si>
  <si>
    <t>FRIO-SF90X240</t>
  </si>
  <si>
    <t>FROST-SF90X240</t>
  </si>
  <si>
    <t>TRESOR-SF53X195</t>
  </si>
  <si>
    <t>TRESOR-S53X240</t>
  </si>
  <si>
    <t>TRESOR-SF53X142</t>
  </si>
  <si>
    <t>SNOW-S100X235</t>
  </si>
  <si>
    <t>MISSISSIPPI-T160X220</t>
  </si>
  <si>
    <t>CASSIA-MQT200X0</t>
  </si>
  <si>
    <t>ECLAT-T150X220</t>
  </si>
  <si>
    <t>YALDA-C100X900</t>
  </si>
  <si>
    <t>ECLAT-C80X2000</t>
  </si>
  <si>
    <t>MISSISSIPPI-T60X110</t>
  </si>
  <si>
    <t>SABLINE-RGZ100X0</t>
  </si>
  <si>
    <t>AL MIFTAH-T40X60</t>
  </si>
  <si>
    <t>CORETE-R160X160</t>
  </si>
  <si>
    <t>ELVIRA-E155X284</t>
  </si>
  <si>
    <t>ELVIRA-S100X235</t>
  </si>
  <si>
    <t>IZMA-SO100X235</t>
  </si>
  <si>
    <t>KENZ-T250X400</t>
  </si>
  <si>
    <t>OSLO-S80X255</t>
  </si>
  <si>
    <t>FRIO-T40X60</t>
  </si>
  <si>
    <t>FLY-T200X275</t>
  </si>
  <si>
    <t>LUXURIA-C100X2000</t>
  </si>
  <si>
    <t>MARGUERITE-MQT200X0</t>
  </si>
  <si>
    <t>TRESOR-S53X142</t>
  </si>
  <si>
    <t>MODALUX-T200X280</t>
  </si>
  <si>
    <t>MODRA-T200X280</t>
  </si>
  <si>
    <t>PLAZA-T90X55</t>
  </si>
  <si>
    <t>BRAGA-C100X2500</t>
  </si>
  <si>
    <t>CORETE-T140X200</t>
  </si>
  <si>
    <t>KODIAK-C80X2000</t>
  </si>
  <si>
    <t>NOMADE-MS160X240</t>
  </si>
  <si>
    <t>ESPLANA-T200X275</t>
  </si>
  <si>
    <t>TIFANI-T180X270</t>
  </si>
  <si>
    <t>VINCA-MQT200X0</t>
  </si>
  <si>
    <t>TIFANI-DL60X220</t>
  </si>
  <si>
    <t>ECLIPSE-T250X400</t>
  </si>
  <si>
    <t>GALATA-S100X235</t>
  </si>
  <si>
    <t>LUXE-T200X275</t>
  </si>
  <si>
    <t>MAJESTIC-T200X280</t>
  </si>
  <si>
    <t>MOON-T200X280</t>
  </si>
  <si>
    <t>NUSSUK-T40X60-RE000</t>
  </si>
  <si>
    <t>TRESOR-T53X89</t>
  </si>
  <si>
    <t>OMEGA-T200X165</t>
  </si>
  <si>
    <t>ECLAT-T200X300</t>
  </si>
  <si>
    <t>ECLAT-T230X160</t>
  </si>
  <si>
    <t>EMOJI-T160X230</t>
  </si>
  <si>
    <t>EMOJI-T230X160</t>
  </si>
  <si>
    <t>KROWAN-T200X280</t>
  </si>
  <si>
    <t>ELVIRA-C80X2500</t>
  </si>
  <si>
    <t>AL AMANA-MSQ400X0</t>
  </si>
  <si>
    <t>ELVIRA-C100X2500</t>
  </si>
  <si>
    <t>NOMADE-C80X2000</t>
  </si>
  <si>
    <t>OMEGA-C100X1000</t>
  </si>
  <si>
    <t>OMEGA-C100X1500</t>
  </si>
  <si>
    <t>MAQAM-MSQ400X0</t>
  </si>
  <si>
    <t>ALICANTE-T120X170</t>
  </si>
  <si>
    <t>EL BASMA-T133X67</t>
  </si>
  <si>
    <t>ESPLANA-T250X400</t>
  </si>
  <si>
    <t>FLOREA-T40X60-RE000</t>
  </si>
  <si>
    <t>LATINO-T200X280</t>
  </si>
  <si>
    <t>TIFANI-T60X40</t>
  </si>
  <si>
    <t>VINCA-T40X60-RE000</t>
  </si>
  <si>
    <t>ALTEA-T200X275</t>
  </si>
  <si>
    <t>IMPACT-F100X100</t>
  </si>
  <si>
    <t>GALATA-C80X2000</t>
  </si>
  <si>
    <t>GALATA-T160X230</t>
  </si>
  <si>
    <t>LATINO-T160X230</t>
  </si>
  <si>
    <t>RAWNA-T200X280</t>
  </si>
  <si>
    <t>AZURITE-T50X100</t>
  </si>
  <si>
    <t>IDESIA-T40X60-RE000</t>
  </si>
  <si>
    <t>ECLIPSE-C100X2000</t>
  </si>
  <si>
    <t>LUXURIA-C100X1500</t>
  </si>
  <si>
    <t>MARGUERITE-T40X60</t>
  </si>
  <si>
    <t>BRAGA-T90X55</t>
  </si>
  <si>
    <t>ELVIRA-S180X130</t>
  </si>
  <si>
    <t>ELVIRA-S220X220</t>
  </si>
  <si>
    <t>ESPLANA-C100X1000</t>
  </si>
  <si>
    <t>ESPLANA-C100X2000</t>
  </si>
  <si>
    <t>KENZ-C90X2000</t>
  </si>
  <si>
    <t>KENZ-T160X230</t>
  </si>
  <si>
    <t>LUXURIA-C100X300</t>
  </si>
  <si>
    <t>LUXURIA-C100X400</t>
  </si>
  <si>
    <t>LUXURIA-C100X500</t>
  </si>
  <si>
    <t>LUXURIA-C100X1000</t>
  </si>
  <si>
    <t>MOOD-T200X280</t>
  </si>
  <si>
    <t>MOON-S180X130</t>
  </si>
  <si>
    <t>MOON-S220X220</t>
  </si>
  <si>
    <t>MOON-T60X110</t>
  </si>
  <si>
    <t>MOON-T160X220</t>
  </si>
  <si>
    <t>RIME-T200X275</t>
  </si>
  <si>
    <t>TIFANI-S210X220</t>
  </si>
  <si>
    <t>TIFANI-T60X110</t>
  </si>
  <si>
    <t>TIFANI-T150X220</t>
  </si>
  <si>
    <t>TIFANI-T210X270</t>
  </si>
  <si>
    <t>ELVIRA-C80X300</t>
  </si>
  <si>
    <t>ELVIRA-C80X400</t>
  </si>
  <si>
    <t>ELVIRA-C80X500</t>
  </si>
  <si>
    <t>ELORA-T200X275</t>
  </si>
  <si>
    <t>ESPLANA-C100X500</t>
  </si>
  <si>
    <t>ESPLANA-C100X400</t>
  </si>
  <si>
    <t>KODIAK-E155X284</t>
  </si>
  <si>
    <t>KODIAK-S100X235</t>
  </si>
  <si>
    <t>NOMADE-T250X400</t>
  </si>
  <si>
    <t>ECLIPSE-T160X230</t>
  </si>
  <si>
    <t>ESPLANA-T165X230</t>
  </si>
  <si>
    <t>ECLIPSE-T165X230</t>
  </si>
  <si>
    <t>AL MINBAR-T266X70</t>
  </si>
  <si>
    <t>AL SABR-T266X70</t>
  </si>
  <si>
    <t>DENIA-T200X280</t>
  </si>
  <si>
    <t>ELORA-T250X400</t>
  </si>
  <si>
    <t>GUADALEST-T200X280</t>
  </si>
  <si>
    <t>NUSSUK-T266X70</t>
  </si>
  <si>
    <t>PHLOX-T40X60</t>
  </si>
  <si>
    <t>TAWAF-T266X70</t>
  </si>
  <si>
    <t>CORETE-RGZ150X0</t>
  </si>
  <si>
    <t>MANISA-O150X220</t>
  </si>
  <si>
    <t>AL SABR-T40X60-RE000</t>
  </si>
  <si>
    <t>BENIDORME-T200X280</t>
  </si>
  <si>
    <t>KROWAN-T240X400</t>
  </si>
  <si>
    <t>MANISA-T90X55</t>
  </si>
  <si>
    <t>SIGNATURE-T100X100</t>
  </si>
  <si>
    <t>ZEN-RGZ200X0</t>
  </si>
  <si>
    <t>MODALUX-MQT400X0</t>
  </si>
  <si>
    <t>ELORA-C85X2500</t>
  </si>
  <si>
    <t>ELORA-T165X230</t>
  </si>
  <si>
    <t>FRIO-T130X180</t>
  </si>
  <si>
    <t>ECLIPSE-C85X2000</t>
  </si>
  <si>
    <t>IZMA-C90X300</t>
  </si>
  <si>
    <t>KROWAN-C100X2000</t>
  </si>
  <si>
    <t>KROWAN-MQT400X0</t>
  </si>
  <si>
    <t>KROWAN-O160X220</t>
  </si>
  <si>
    <t>KROWAN-R160X160</t>
  </si>
  <si>
    <t>AL MANASSIK-T200X280</t>
  </si>
  <si>
    <t>ALICANTE-T50X50</t>
  </si>
  <si>
    <t>BERBER-T100X100</t>
  </si>
  <si>
    <t>DIADEME-T200X280</t>
  </si>
  <si>
    <t>GUADALEST-C100X2500</t>
  </si>
  <si>
    <t>HAWAI-T50X50</t>
  </si>
  <si>
    <t>INFLUENCE-T250X160</t>
  </si>
  <si>
    <t>KIMA-T100X100</t>
  </si>
  <si>
    <t>KROWAN-S100X235</t>
  </si>
  <si>
    <t>LAMIS-T100X100</t>
  </si>
  <si>
    <t>MADY-T100X100</t>
  </si>
  <si>
    <t>OLYMPIA-E155X284</t>
  </si>
  <si>
    <t>SARAH-T100X100</t>
  </si>
  <si>
    <t>SPACE-T50X50</t>
  </si>
  <si>
    <t>CASTELLO-T200X280</t>
  </si>
  <si>
    <t>ECLAT-T90X55</t>
  </si>
  <si>
    <t>ELVIRA-T90X55</t>
  </si>
  <si>
    <t>GUADALEST-S100X235</t>
  </si>
  <si>
    <t>GUADALEST-T100X55</t>
  </si>
  <si>
    <t>GUADALEST-T100X125</t>
  </si>
  <si>
    <t>INFLUENCE-T200X280</t>
  </si>
  <si>
    <t>IZMA-S100X235</t>
  </si>
  <si>
    <t>KENZ-C85X2000</t>
  </si>
  <si>
    <t>VALORIA-T66X110</t>
  </si>
  <si>
    <t>DIAMANTINE-MS50X110</t>
  </si>
  <si>
    <t>ISHRAK-C100X1000</t>
  </si>
  <si>
    <t>MODALUX-S180X130</t>
  </si>
  <si>
    <t>MODALUX-S220X220</t>
  </si>
  <si>
    <t>STORY-C80X800</t>
  </si>
  <si>
    <t>STORY-C80X900</t>
  </si>
  <si>
    <t>STORY-C80X2000</t>
  </si>
  <si>
    <t>STORY-C90X600</t>
  </si>
  <si>
    <t>STORY-C90X700</t>
  </si>
  <si>
    <t>STORY-C90X800</t>
  </si>
  <si>
    <t>STORY-C90X900</t>
  </si>
  <si>
    <t>STORY-C90X1000</t>
  </si>
  <si>
    <t>STORY-C90X1100</t>
  </si>
  <si>
    <t>STORY-C90X1300</t>
  </si>
  <si>
    <t>STORY-C90X1500</t>
  </si>
  <si>
    <t>STORY-C90X1600</t>
  </si>
  <si>
    <t>STORY-C90X1700</t>
  </si>
  <si>
    <t>STORY-C90X2000</t>
  </si>
  <si>
    <t>STORY-C100X500</t>
  </si>
  <si>
    <t>STORY-C100X900</t>
  </si>
  <si>
    <t>STORY-S60X145</t>
  </si>
  <si>
    <t>STORY-C80X600</t>
  </si>
  <si>
    <t>STORY-C80X1200</t>
  </si>
  <si>
    <t>STORY-C80X1600</t>
  </si>
  <si>
    <t>STORY-C80X1700</t>
  </si>
  <si>
    <t>STORY-C100X300</t>
  </si>
  <si>
    <t>STORY-C100X600</t>
  </si>
  <si>
    <t>AL MAKASSID-MSQ133X0</t>
  </si>
  <si>
    <t>GARDEN-RGZ200X0</t>
  </si>
  <si>
    <t>KROWAN-C80X2000</t>
  </si>
  <si>
    <t>KROWAN-E155X284</t>
  </si>
  <si>
    <t>KROWAN-T160X220</t>
  </si>
  <si>
    <t>LATINO-T160X220</t>
  </si>
  <si>
    <t>MODALUX-T160X220</t>
  </si>
  <si>
    <t>LATINO-S80X240</t>
  </si>
  <si>
    <t>TIFANI-C84X2000</t>
  </si>
  <si>
    <t>CITRINE-T40X60-RE000</t>
  </si>
  <si>
    <t>GUADALEST-E155X284</t>
  </si>
  <si>
    <t>ISHRAK-C100X500</t>
  </si>
  <si>
    <t>ESPLANA-C85X2000</t>
  </si>
  <si>
    <t>AL MISBAH-T133X67</t>
  </si>
  <si>
    <t>GUADALEST-S220X220</t>
  </si>
  <si>
    <t>IZMA-MS50X110</t>
  </si>
  <si>
    <t>MODALUX-T65X100</t>
  </si>
  <si>
    <t>ALICANTE-C150X570</t>
  </si>
  <si>
    <t>ALICANTE-T90X450</t>
  </si>
  <si>
    <t>ALICANTE-T100X140</t>
  </si>
  <si>
    <t>ALICANTE-T150X150</t>
  </si>
  <si>
    <t>ALICANTE-T180X180</t>
  </si>
  <si>
    <t>GUADALEST-T155X220</t>
  </si>
  <si>
    <t>INFLUENCE-MS90X450</t>
  </si>
  <si>
    <t>PAPYRUS-T40X60-RE000</t>
  </si>
  <si>
    <t>PLAZA-C80X500</t>
  </si>
  <si>
    <t>SCANDINAVE-T40X60-RE000</t>
  </si>
  <si>
    <t>TIFANI-C84X1500</t>
  </si>
  <si>
    <t>TREND-T200X280</t>
  </si>
  <si>
    <t>ULTRA-T200X280</t>
  </si>
  <si>
    <t>VINCA-MQT400X0</t>
  </si>
  <si>
    <t>LAMIS-MQT400X0</t>
  </si>
  <si>
    <t>CASSIA-MQT400X0</t>
  </si>
  <si>
    <t>IXORA-RGZ400X0</t>
  </si>
  <si>
    <t>SPACE-T150X200</t>
  </si>
  <si>
    <t>CASTELLO-S100X235</t>
  </si>
  <si>
    <t>DIADEME-S100X235</t>
  </si>
  <si>
    <t>NICE-T200X280</t>
  </si>
  <si>
    <t>NOLINA-T40X60</t>
  </si>
  <si>
    <t>KSOR-T200X280</t>
  </si>
  <si>
    <t>RIMEL-T60X110</t>
  </si>
  <si>
    <t>RIMEL-T60X150</t>
  </si>
  <si>
    <t>AL MANASSIK-MS100X0</t>
  </si>
  <si>
    <t>IZMA-T200X280</t>
  </si>
  <si>
    <t>AL MANASSIK-MS100X1300</t>
  </si>
  <si>
    <t>AL MANASSIK-MS100X1750</t>
  </si>
  <si>
    <t>GUADALEST-MQT400X0</t>
  </si>
  <si>
    <t>ELVIRA-T160X220</t>
  </si>
  <si>
    <t>ECLIPSE-C85X1500</t>
  </si>
  <si>
    <t>ELVIRA-R160X160</t>
  </si>
  <si>
    <t>ELVIRA-T240X400</t>
  </si>
  <si>
    <t>DIADEME-MQT400X0</t>
  </si>
  <si>
    <t>ELVIRA-O160X220</t>
  </si>
  <si>
    <t>ELVIRA-S80X240</t>
  </si>
  <si>
    <t>KSOR-C100X2000</t>
  </si>
  <si>
    <t>STORY-S60X160</t>
  </si>
  <si>
    <t>LOBELIA-S57X200</t>
  </si>
  <si>
    <t>LOBELIA-SF57X170</t>
  </si>
  <si>
    <t>STORY-T120X220</t>
  </si>
  <si>
    <t>AL MANASSIK-MS40X1000</t>
  </si>
  <si>
    <t>AL MANASSIK-MS40X1300</t>
  </si>
  <si>
    <t>AL MANASSIK-MS40X1750</t>
  </si>
  <si>
    <t>AL MANASSIK-MS40X2000</t>
  </si>
  <si>
    <t>AL MANASSIK-MS40X2500</t>
  </si>
  <si>
    <t>AL MANASSIK-MS40X2600</t>
  </si>
  <si>
    <t>AL MANASSIK-MS110X1300</t>
  </si>
  <si>
    <t>AL MANASSIK-MS120X1000</t>
  </si>
  <si>
    <t>AL MANASSIK-MS120X1750</t>
  </si>
  <si>
    <t>AL MANASSIK-MS120X2000</t>
  </si>
  <si>
    <t>AL MANASSIK-MS120X2500</t>
  </si>
  <si>
    <t>AL MANASSIK-MS120X2600</t>
  </si>
  <si>
    <t>AL MANASSIK-MS250X1300</t>
  </si>
  <si>
    <t>ALICANTE-MQT200X0</t>
  </si>
  <si>
    <t>BOUROUJ-T200X250</t>
  </si>
  <si>
    <t>EVOKE-T200X275</t>
  </si>
  <si>
    <t>ORIGINAL-T200X275</t>
  </si>
  <si>
    <t>NORDIC-T200X275</t>
  </si>
  <si>
    <t>LYNA-O80X115</t>
  </si>
  <si>
    <t>LYNA-R80X80</t>
  </si>
  <si>
    <t>MOOD-S100X235</t>
  </si>
  <si>
    <t>KROWAN-MQT200X0</t>
  </si>
  <si>
    <t>GALATA-E150X284</t>
  </si>
  <si>
    <t>AL MOSALA-T180X250</t>
  </si>
  <si>
    <t>STORY-T180X250</t>
  </si>
  <si>
    <t>LOBELIA-T200X275</t>
  </si>
  <si>
    <t>NERINE-SF57X170</t>
  </si>
  <si>
    <t>POLZA-S100X235</t>
  </si>
  <si>
    <t>SELFY-T200X275</t>
  </si>
  <si>
    <t>DIADEME-E155X284</t>
  </si>
  <si>
    <t>GALATA-E155X284</t>
  </si>
  <si>
    <t>ORIGINAL-T60X110</t>
  </si>
  <si>
    <t>OLYMPIA-T50X60</t>
  </si>
  <si>
    <t>OPTIQUE-T200X275</t>
  </si>
  <si>
    <t>EL BASMA-T200X280</t>
  </si>
  <si>
    <t>KSOR-MS120X650</t>
  </si>
  <si>
    <t>ECLAT-MS80X230</t>
  </si>
  <si>
    <t>KSOR-MS80X650</t>
  </si>
  <si>
    <t>ECLAT-S220X220</t>
  </si>
  <si>
    <t>AL MOSALA-T120X250</t>
  </si>
  <si>
    <t>STORY-T120X250</t>
  </si>
  <si>
    <t>STORY-C80X1000</t>
  </si>
  <si>
    <t>STORY-C100X2000</t>
  </si>
  <si>
    <t>STORY-C100X1800</t>
  </si>
  <si>
    <t>STORY-C80X1800</t>
  </si>
  <si>
    <t>ECLAT-S180X130</t>
  </si>
  <si>
    <t>NOMADE-E155X284</t>
  </si>
  <si>
    <t>AL DIKR-T66X110</t>
  </si>
  <si>
    <t>BRAGA-MQT400X0</t>
  </si>
  <si>
    <t>BRAGA-T100X55</t>
  </si>
  <si>
    <t>MERSIN-T100X55</t>
  </si>
  <si>
    <t>TIFANI-S60X370</t>
  </si>
  <si>
    <t>TIFANI-MQT400X0</t>
  </si>
  <si>
    <t>STORY-T53X80</t>
  </si>
  <si>
    <t>ORIA-S210X220</t>
  </si>
  <si>
    <t>ECLAT-T240X400</t>
  </si>
  <si>
    <t>FENNEC-MQT400X0</t>
  </si>
  <si>
    <t>GUADIX-T110X420</t>
  </si>
  <si>
    <t>NERINE-T200X275</t>
  </si>
  <si>
    <t>DENIA-MQT400X0</t>
  </si>
  <si>
    <t>ORIA-MQT420X0</t>
  </si>
  <si>
    <t>ORIA-T240X400</t>
  </si>
  <si>
    <t>ELVIRA-T150X220</t>
  </si>
  <si>
    <t>ECLIPSE-T200X150</t>
  </si>
  <si>
    <t>CIRTA-T165X230</t>
  </si>
  <si>
    <t>BRAGA-T100X125</t>
  </si>
  <si>
    <t>EVASION-T200X275</t>
  </si>
  <si>
    <t>LOBELIA-T100X100</t>
  </si>
  <si>
    <t>NERINE-S57X200</t>
  </si>
  <si>
    <t>NERINE-T100X100</t>
  </si>
  <si>
    <t>DENIA-S100X235</t>
  </si>
  <si>
    <t>STORY-T50X40</t>
  </si>
  <si>
    <t>STORY-T80X40</t>
  </si>
  <si>
    <t>GALATA-O150X220</t>
  </si>
  <si>
    <t>GALATA-R150X150</t>
  </si>
  <si>
    <t>NICE-MQT400X0</t>
  </si>
  <si>
    <t>DIADEME-T160X220</t>
  </si>
  <si>
    <t>DIADEME-T160X230</t>
  </si>
  <si>
    <t>DIADEME-T240X400</t>
  </si>
  <si>
    <t>ESPLANA-T200X150</t>
  </si>
  <si>
    <t>FRESH-T200X280</t>
  </si>
  <si>
    <t>GALATA-T155X220</t>
  </si>
  <si>
    <t>MISSISSIPPI-MQT400X0</t>
  </si>
  <si>
    <t>VOYAGE-T200X280</t>
  </si>
  <si>
    <t>AL MANASSIK-MS400X1600</t>
  </si>
  <si>
    <t>AL MANASSIK-MS66X650</t>
  </si>
  <si>
    <t>DIADEME-O150X220</t>
  </si>
  <si>
    <t>DIADEME-R150X150</t>
  </si>
  <si>
    <t>AL BAYINA-MSQ133X0</t>
  </si>
  <si>
    <t>ESPLANA-S200X220</t>
  </si>
  <si>
    <t>KSOR-T160X220</t>
  </si>
  <si>
    <t>KSOR-T240X400</t>
  </si>
  <si>
    <t>ORIA-T60X150</t>
  </si>
  <si>
    <t>ROYAL ECLAT-T200X280</t>
  </si>
  <si>
    <t>ROYAL NICE-T200X280</t>
  </si>
  <si>
    <t>ECLAT-O160X220</t>
  </si>
  <si>
    <t>ECLAT-R160X160</t>
  </si>
  <si>
    <t>STORY-T170X270</t>
  </si>
  <si>
    <t>DENIA-E155X284</t>
  </si>
  <si>
    <t>ROYAL ECLAT-S80X240</t>
  </si>
  <si>
    <t>ROYAL ECLAT-T160X230</t>
  </si>
  <si>
    <t>STORY-T60X90</t>
  </si>
  <si>
    <t>FEUTRE MQT-M200X0</t>
  </si>
  <si>
    <t>ESPLANA-MQT250X0</t>
  </si>
  <si>
    <t>CONTACT-T150X200</t>
  </si>
  <si>
    <t>AKSARAY-T200X280</t>
  </si>
  <si>
    <t>ECLAT-T160X230</t>
  </si>
  <si>
    <t>PLAZA-O150X220</t>
  </si>
  <si>
    <t>PLAZA-R150X150</t>
  </si>
  <si>
    <t>CONTACT-S75X220</t>
  </si>
  <si>
    <t>CONTACT-S90X240</t>
  </si>
  <si>
    <t>AKSARAY-C80X2000</t>
  </si>
  <si>
    <t>AKSARAY-O160X220</t>
  </si>
  <si>
    <t>AKSARAY-R160X160</t>
  </si>
  <si>
    <t>DENIA-T160X230</t>
  </si>
  <si>
    <t>DENIA-T240X400</t>
  </si>
  <si>
    <t>ESPLANA-C100X2500</t>
  </si>
  <si>
    <t>IDENTITY-T200X275</t>
  </si>
  <si>
    <t>KSOR-MQT400X0</t>
  </si>
  <si>
    <t>CARPETTE-T180</t>
  </si>
  <si>
    <t>CONTACT-T180X270</t>
  </si>
  <si>
    <t>PRINTA-S53X185</t>
  </si>
  <si>
    <t>ECLAT-C80X300</t>
  </si>
  <si>
    <t>ECLAT-C80X400</t>
  </si>
  <si>
    <t>ECLAT-C80X500</t>
  </si>
  <si>
    <t>ECLAT-T160X210</t>
  </si>
  <si>
    <t>EVOKE-T66X110</t>
  </si>
  <si>
    <t>ORIA-DL60X220</t>
  </si>
  <si>
    <t>TIFANI-T240X400</t>
  </si>
  <si>
    <t>TOPKAPI-T165X230</t>
  </si>
  <si>
    <t>KSOR-E155X284</t>
  </si>
  <si>
    <t>ECLAT-SO100X235</t>
  </si>
  <si>
    <t>KSOR-O160X230</t>
  </si>
  <si>
    <t>KSOR-R160X160</t>
  </si>
  <si>
    <t>KSOR-S80X240</t>
  </si>
  <si>
    <t>CONTACT-T40X60</t>
  </si>
  <si>
    <t>GALATA-SO100X235</t>
  </si>
  <si>
    <t>FEUTRE 10 MM AIREE</t>
  </si>
  <si>
    <t>AKSARAY-T40X60</t>
  </si>
  <si>
    <t>CAVANE-T200X280</t>
  </si>
  <si>
    <t>ORIA-T210X270</t>
  </si>
  <si>
    <t>AL MANASSIK-MS400X1200</t>
  </si>
  <si>
    <t>ORIA-C80X2000</t>
  </si>
  <si>
    <t>ORIA-S100X235</t>
  </si>
  <si>
    <t>ORIA-T160X220</t>
  </si>
  <si>
    <t>AYAM-T200X275</t>
  </si>
  <si>
    <t>MARAM-T200X300</t>
  </si>
  <si>
    <t>ORIA-O160X230</t>
  </si>
  <si>
    <t>ORIA-R160X160</t>
  </si>
  <si>
    <t>SIRINE-T165X250</t>
  </si>
  <si>
    <t>SIRINE-T200X250</t>
  </si>
  <si>
    <t>SIRINE-T200X300</t>
  </si>
  <si>
    <t>SIRINE-T200X350</t>
  </si>
  <si>
    <t>SIRINE-T200X400</t>
  </si>
  <si>
    <t>SIRINE-T280X400</t>
  </si>
  <si>
    <t>MANISA-R150X150</t>
  </si>
  <si>
    <t>ECLAT-C100X2000</t>
  </si>
  <si>
    <t>MANISA-C100X400</t>
  </si>
  <si>
    <t>MANISA-C100X500</t>
  </si>
  <si>
    <t>SIRINE-T330X250</t>
  </si>
  <si>
    <t>TRESOR-T50X80</t>
  </si>
  <si>
    <t>TRESOR-T53X80</t>
  </si>
  <si>
    <t>NICE-T160X230</t>
  </si>
  <si>
    <t>ELIF-T200X280</t>
  </si>
  <si>
    <t>STORY-C80X700</t>
  </si>
  <si>
    <t>STORY-C80X1100</t>
  </si>
  <si>
    <t>STORY-C80X1300</t>
  </si>
  <si>
    <t>STORY-C80X1400</t>
  </si>
  <si>
    <t>STORY-C80X1500</t>
  </si>
  <si>
    <t>ROCA-T200X280</t>
  </si>
  <si>
    <t>NUSSUK-T133X67</t>
  </si>
  <si>
    <t>FEUTRE  1.45X33 M 10 MM AIREE</t>
  </si>
  <si>
    <t>CONTACT-C80X300</t>
  </si>
  <si>
    <t>OPALINE-S90X240</t>
  </si>
  <si>
    <t>OPALINE-SO90X240</t>
  </si>
  <si>
    <t>RELAX-C100X2500</t>
  </si>
  <si>
    <t>NICE-S100X235</t>
  </si>
  <si>
    <t>NICE-T240X400</t>
  </si>
  <si>
    <t>OPALINE-T180X270</t>
  </si>
  <si>
    <t>FAST.A.C.6011-RGZ400X0</t>
  </si>
  <si>
    <t>PADEL T .3410-RGZ400X0</t>
  </si>
  <si>
    <t>RETOUR USINE 26.07.2026</t>
  </si>
  <si>
    <t>OPALINE-T150X200</t>
  </si>
  <si>
    <t>STORY-C90X1200</t>
  </si>
  <si>
    <t>STORY-C90X1400</t>
  </si>
  <si>
    <t>STORY-C90X1800</t>
  </si>
  <si>
    <t>NICE-R150X150</t>
  </si>
  <si>
    <t>NICE-O150X220</t>
  </si>
  <si>
    <t>DIADEME-S180X130</t>
  </si>
  <si>
    <t>DENIA-S180X130</t>
  </si>
  <si>
    <t>ECRT 15.08.2026</t>
  </si>
  <si>
    <t>STORY-C90X1900</t>
  </si>
  <si>
    <t>OPALINE-SO75X220</t>
  </si>
  <si>
    <t>Étiquettes de lignes</t>
  </si>
  <si>
    <t>Somme de Quantité</t>
  </si>
  <si>
    <t>ESPLANA-T200X400</t>
  </si>
  <si>
    <t>TOPKAPI-T200X275</t>
  </si>
  <si>
    <t>TOPKAPI-S130X180</t>
  </si>
  <si>
    <t>OPALINE-T40X60</t>
  </si>
  <si>
    <t>NICE-DL80X260</t>
  </si>
  <si>
    <t>PLAZA-C80X1500</t>
  </si>
  <si>
    <t>OPALINE-S75X220</t>
  </si>
  <si>
    <t>ASLI-T200X280</t>
  </si>
  <si>
    <t>GOLF-T200X280</t>
  </si>
  <si>
    <t>MAESTRO-C100X2000</t>
  </si>
  <si>
    <t>NICE-C100X2000</t>
  </si>
  <si>
    <t>OPALINE-SO75X250</t>
  </si>
  <si>
    <t>FRIO-T180X270</t>
  </si>
  <si>
    <t>STORY-S75X250</t>
  </si>
  <si>
    <t>OPALINE-S75X250</t>
  </si>
  <si>
    <t>AZARA-T40X60-RE000</t>
  </si>
  <si>
    <t>NOUR-C80X2000</t>
  </si>
  <si>
    <t>ORIA-C84X2000</t>
  </si>
  <si>
    <t>DENIA-C100X2000</t>
  </si>
  <si>
    <t>SUPREME-T200X275</t>
  </si>
  <si>
    <t>MODENA-T180X270</t>
  </si>
  <si>
    <t>ESPLANA-T160X230</t>
  </si>
  <si>
    <t>NICE-C80X2000</t>
  </si>
  <si>
    <t>ESPLANA-T66X110</t>
  </si>
  <si>
    <t>NOMADE-O160X220</t>
  </si>
  <si>
    <t>NOMADE-R160X160</t>
  </si>
  <si>
    <t>ORIA-C100X2000</t>
  </si>
  <si>
    <t>ORIA-SCR80X380</t>
  </si>
  <si>
    <t>ORIA-SCR80X480</t>
  </si>
  <si>
    <t>ESPLANA-C85X1000</t>
  </si>
  <si>
    <t>ORIA-R80X80</t>
  </si>
  <si>
    <t>VIRIDIA-MQT200X0</t>
  </si>
  <si>
    <t>AL MANASSIK-MS40X2200</t>
  </si>
  <si>
    <t>AL MANASSIK-MS160X2200</t>
  </si>
  <si>
    <t>AL MANASSIK-MS200X2200</t>
  </si>
  <si>
    <t>file://192.168.1.70/Service%20Facturiers/11.%20TELECHARGEMENT/Quants%20-%20SIG%20Service%20ERP.html</t>
  </si>
  <si>
    <t>file://192.168.1.70/Service%20Facturiers/11.%20TELECHARGEMENT/Articles%20-%20SIG%20Service%20ERP.html</t>
  </si>
  <si>
    <t>AL WIFAQ-MS400X750</t>
  </si>
  <si>
    <t>MODENA-S60X370</t>
  </si>
  <si>
    <t>RELAX-T200X280</t>
  </si>
  <si>
    <t>YALI-S100X235</t>
  </si>
  <si>
    <t>YALI-T200X280</t>
  </si>
  <si>
    <t>NOUR-C80X1500</t>
  </si>
  <si>
    <t>ORIA-ECR80X380</t>
  </si>
  <si>
    <t>CYPRES-T40X60-RE000</t>
  </si>
  <si>
    <t>ESPLANA-C85X300</t>
  </si>
  <si>
    <t>ESPLANA-C85X500</t>
  </si>
  <si>
    <t>EVOKE-C100X2500</t>
  </si>
  <si>
    <t>FENNEC-C80X2500</t>
  </si>
  <si>
    <t>GALATA-C100X1500</t>
  </si>
  <si>
    <t>GALATA-C100X2000</t>
  </si>
  <si>
    <t>GALATA-T90X55</t>
  </si>
  <si>
    <t>GALATA-T100X125</t>
  </si>
  <si>
    <t>MODENA-T160X220</t>
  </si>
  <si>
    <t>NERMIN-T120X170</t>
  </si>
  <si>
    <t>NERMIN-T160X220</t>
  </si>
  <si>
    <t>NERMIN-T200X280</t>
  </si>
  <si>
    <t>ORIA-C80X300</t>
  </si>
  <si>
    <t>ORIA-C80X400</t>
  </si>
  <si>
    <t>ORIA-ECR80X480</t>
  </si>
  <si>
    <t>BAHDJA-T200X280</t>
  </si>
  <si>
    <t>STORY-F120X160</t>
  </si>
  <si>
    <t>MODENA-S80X240</t>
  </si>
  <si>
    <t>GALATA-C100X300</t>
  </si>
  <si>
    <t>NERMIN-T80X150</t>
  </si>
  <si>
    <t>MANISA-MQT250X0</t>
  </si>
  <si>
    <t>NAZLI-T200X280</t>
  </si>
  <si>
    <t>OPTIQUE-C100X2000</t>
  </si>
  <si>
    <t>ECLAT-C120X2000</t>
  </si>
  <si>
    <t>GALATA-T100X55</t>
  </si>
  <si>
    <t>STORY-F60X90</t>
  </si>
  <si>
    <t>RIVA-RGZ200X0</t>
  </si>
  <si>
    <t>SCOTCH</t>
  </si>
  <si>
    <t>ecart achat 07/10/2026</t>
  </si>
  <si>
    <t>ecart achat 07/10/2026  12/10/2026 15/10/2026</t>
  </si>
  <si>
    <t>ELIF-C80X2000</t>
  </si>
  <si>
    <t>.</t>
  </si>
  <si>
    <t>ECART ACHAT 17.10</t>
  </si>
  <si>
    <t>ecart achat 07/10/2026  12/10/2026  17/10/2026</t>
  </si>
  <si>
    <t>ELIF-C100X2000</t>
  </si>
  <si>
    <t>ALICANTE-C80X2000</t>
  </si>
  <si>
    <t>ALICANTE-C100X2000</t>
  </si>
  <si>
    <t>ALICANTE-C120X2000</t>
  </si>
  <si>
    <t>ALICANTE-O160X220</t>
  </si>
  <si>
    <t>ALICANTE-R160X160</t>
  </si>
  <si>
    <t>ELIF-C120X2000</t>
  </si>
  <si>
    <t>ELIF-R160X160</t>
  </si>
  <si>
    <t>ELIF-T160X230</t>
  </si>
  <si>
    <t>OPLAINE-S90X280</t>
  </si>
  <si>
    <t>OPLAINE-SO90X280</t>
  </si>
  <si>
    <t>SAHAR-T165X230</t>
  </si>
  <si>
    <t>TURATH-T200X275</t>
  </si>
  <si>
    <t>ELIF-O160X230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</si>
</sst>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0"/>
      <color rgb="FF4C4C4C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43" fontId="0" fillId="0" borderId="0" xfId="1" applyFont="1"/>
    <xf numFmtId="0" fontId="0" fillId="0" borderId="0" xfId="0" applyProtection="1">
      <protection locked="0"/>
    </xf>
    <xf numFmtId="22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1" xfId="2" applyFill="1" applyBorder="1" applyAlignment="1">
      <alignment horizontal="center" vertical="center"/>
    </xf>
    <xf numFmtId="0" fontId="8" fillId="2" borderId="2" xfId="2" applyNumberFormat="1" applyFill="1" applyBorder="1"/>
    <xf numFmtId="0" fontId="10" fillId="0" borderId="0" xfId="0" applyFont="1"/>
    <xf numFmtId="0" fontId="0" fillId="0" borderId="3" xfId="0" applyBorder="1"/>
    <xf numFmtId="0" fontId="12" fillId="0" borderId="3" xfId="0" applyFont="1" applyBorder="1"/>
    <xf numFmtId="0" fontId="12" fillId="0" borderId="5" xfId="0" applyFont="1" applyBorder="1"/>
    <xf numFmtId="0" fontId="0" fillId="0" borderId="5" xfId="0" applyBorder="1"/>
    <xf numFmtId="0" fontId="12" fillId="0" borderId="4" xfId="0" applyFont="1" applyBorder="1"/>
    <xf numFmtId="0" fontId="12" fillId="0" borderId="6" xfId="0" applyFont="1" applyBorder="1"/>
    <xf numFmtId="0" fontId="11" fillId="3" borderId="0" xfId="0" applyFont="1" applyFill="1"/>
    <xf numFmtId="0" fontId="0" fillId="4" borderId="3" xfId="0" applyFill="1" applyBorder="1"/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 applyNumberFormat="1" applyFill="1"/>
    <xf numFmtId="0" fontId="0" fillId="0" borderId="0" xfId="0" applyFill="1"/>
  </cellXfs>
  <cellStyles count="3">
    <cellStyle name="Lien hypertexte" xfId="2" builtinId="8"/>
    <cellStyle name="Milliers" xfId="1" builtinId="3"/>
    <cellStyle name="Normal" xfId="0" builtinId="0"/>
  </cellStyles>
  <dxfs count="29"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6" xr16:uid="{D873B2FD-74CC-44CA-9F14-FC68EA319BB6}" autoFormatId="16" applyNumberFormats="0" applyBorderFormats="0" applyFontFormats="0" applyPatternFormats="0" applyAlignmentFormats="0" applyWidthHeightFormats="0">
  <queryTableRefresh nextId="3">
    <queryTableFields count="1">
      <queryTableField id="1" name="ARTICL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14" xr16:uid="{DB9BD9C9-DF33-4DC7-8E90-DD565D92C0EE}" autoFormatId="16" applyNumberFormats="0" applyBorderFormats="0" applyFontFormats="0" applyPatternFormats="0" applyAlignmentFormats="0" applyWidthHeightFormats="0">
  <queryTableRefresh nextId="4">
    <queryTableFields count="3">
      <queryTableField id="1" name="ARTICLE" tableColumnId="1"/>
      <queryTableField id="2" name="QTE LOG" tableColumnId="2"/>
      <queryTableField id="3" name="PRIX LOG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adjustColumnWidth="0" connectionId="8" xr16:uid="{23522B3E-E23F-4F36-B73B-BA714099576E}" autoFormatId="16" applyNumberFormats="0" applyBorderFormats="0" applyFontFormats="0" applyPatternFormats="0" applyAlignmentFormats="0" applyWidthHeightFormats="0">
  <queryTableRefresh nextId="7">
    <queryTableFields count="5">
      <queryTableField id="1" name="Art" tableColumnId="1"/>
      <queryTableField id="2" name="Qte Sfa" tableColumnId="2"/>
      <queryTableField id="3" name="Qte Log" tableColumnId="3"/>
      <queryTableField id="4" name="Ecart Qte" tableColumnId="4"/>
      <queryTableField id="6" name="OBSERVATION" tableColumnId="6"/>
    </queryTableFields>
    <queryTableDeletedFields count="1">
      <deletedField name="Index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7" xr16:uid="{3E584B00-6E84-48A7-95DE-9CB82FCD1E25}" autoFormatId="16" applyNumberFormats="0" applyBorderFormats="0" applyFontFormats="0" applyPatternFormats="0" applyAlignmentFormats="0" applyWidthHeightFormats="0">
  <queryTableRefresh nextId="5">
    <queryTableFields count="4">
      <queryTableField id="1" name="Art" tableColumnId="1"/>
      <queryTableField id="2" name="Prix Sfa" tableColumnId="2"/>
      <queryTableField id="3" name="Prix Log" tableColumnId="3"/>
      <queryTableField id="4" name="Ecart Prix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adjustColumnWidth="0" connectionId="6" xr16:uid="{2015690F-AB6A-438D-B11C-CC333855B54F}" autoFormatId="16" applyNumberFormats="0" applyBorderFormats="0" applyFontFormats="0" applyPatternFormats="0" applyAlignmentFormats="0" applyWidthHeightFormats="0">
  <queryTableRefresh nextId="2">
    <queryTableFields count="1">
      <queryTableField id="1" name="dernier MSJ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F3D3A-F375-446B-8CF8-3AE792F9CD4C}" name="prix_manquats" displayName="prix_manquats" ref="A2:A19" tableType="queryTable" totalsRowShown="0">
  <autoFilter ref="A2:A19" xr:uid="{7FFF3D3A-F375-446B-8CF8-3AE792F9CD4C}"/>
  <tableColumns count="1">
    <tableColumn id="1" xr3:uid="{ABAF915E-A857-4200-8998-0EE50677274B}" uniqueName="1" name="ARTICL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5C9161-D06C-4F9D-A93D-BAEC68BEB0D9}" name="Tableau4" displayName="Tableau4" ref="B2:C14" totalsRowShown="0">
  <autoFilter ref="B2:C14" xr:uid="{6F5C9161-D06C-4F9D-A93D-BAEC68BEB0D9}"/>
  <tableColumns count="2">
    <tableColumn id="1" xr3:uid="{4F5B62DE-9AE1-4121-87A9-7115A5789B93}" name="ARTICLE" dataDxfId="18">
      <calculatedColumnFormula>+IFERROR(IF(prix_manquats[[#This Row],[ARTICLE]]="","",prix_manquats[[#This Row],[ARTICLE]]),"")</calculatedColumnFormula>
    </tableColumn>
    <tableColumn id="2" xr3:uid="{8AC57789-AC6A-413D-AAA0-0B2D0E7156EA}" name="Prix Sfa" dataCellStyle="Milli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18F1DC-B571-4707-BE8A-36A3851F28B4}" name="Tableau1" displayName="Tableau1" ref="F2:F2080" totalsRowCount="1" dataDxfId="17">
  <autoFilter ref="F2:F2079" xr:uid="{5418F1DC-B571-4707-BE8A-36A3851F28B4}"/>
  <tableColumns count="1">
    <tableColumn id="1" xr3:uid="{4CF578D8-F4AF-470F-A71A-4F2AB7A08013}" name="ARTICLE A EXCLURE DU FILTRE" totalsRowFunction="custom" dataDxfId="16">
      <totalsRowFormula>+IFERROR(IF(prix_manquats[[#This Row],[ARTICLE]]="","",prix_manquats[[#This Row],[ARTICLE]]),"")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5108372-6464-4185-8D2E-B7246ABBF6E7}" name="log_qte_et_prix" displayName="log_qte_et_prix" ref="A1:C2478" tableType="queryTable" totalsRowShown="0">
  <autoFilter ref="A1:C2478" xr:uid="{15108372-6464-4185-8D2E-B7246ABBF6E7}"/>
  <tableColumns count="3">
    <tableColumn id="1" xr3:uid="{6AB1D111-514A-43E8-BBE0-EBF2CD7CD7B3}" uniqueName="1" name="ARTICLE" queryTableFieldId="1"/>
    <tableColumn id="2" xr3:uid="{7E357317-2CDC-4240-94CE-3A62AE4F1419}" uniqueName="2" name="QTE LOG" queryTableFieldId="2"/>
    <tableColumn id="3" xr3:uid="{451943F8-EBF4-48DC-82AF-D607BFA56820}" uniqueName="3" name="PRIX LOG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B45D0D-CAB2-4C31-A4E3-C32387F2A0B8}" name="ecart_qte" displayName="ecart_qte" ref="A7:E50" tableType="queryTable" dataDxfId="28">
  <autoFilter ref="A7:E50" xr:uid="{D8B45D0D-CAB2-4C31-A4E3-C32387F2A0B8}">
    <filterColumn colId="4">
      <colorFilter dxfId="0"/>
    </filterColumn>
  </autoFilter>
  <sortState xmlns:xlrd2="http://schemas.microsoft.com/office/spreadsheetml/2017/richdata2" ref="A8:E50">
    <sortCondition ref="A7:A50"/>
  </sortState>
  <tableColumns count="5">
    <tableColumn id="1" xr3:uid="{CFB71539-4ED1-4F7A-87DE-EC310AA60228}" uniqueName="1" name="Art" totalsRowLabel="Total" queryTableFieldId="1" dataDxfId="5"/>
    <tableColumn id="2" xr3:uid="{50E84E19-FE1B-44F9-87DE-BD63835683C4}" uniqueName="2" name="Qte Sfa" queryTableFieldId="2" dataDxfId="4"/>
    <tableColumn id="3" xr3:uid="{36742298-9CE7-4087-8CBA-823EAE50C198}" uniqueName="3" name="Qte Log" queryTableFieldId="3" dataDxfId="3"/>
    <tableColumn id="4" xr3:uid="{A77056A8-DE81-4F7C-9B40-86D28D04761A}" uniqueName="4" name="Ecart Qte" queryTableFieldId="4" dataDxfId="2"/>
    <tableColumn id="6" xr3:uid="{60C7CF15-3B3C-4A67-86D9-E82CB920478C}" uniqueName="6" name="OBSERVATION" totalsRowFunction="count" queryTableFieldId="6" dataDxfId="1"/>
  </tableColumns>
  <tableStyleInfo name="TableStyleLight13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2F33F5D-569A-4829-8DF8-AAE739D1D53E}" name="ecart_prix" displayName="ecart_prix" ref="G7:J20" tableType="queryTable" totalsRowShown="0">
  <autoFilter ref="G7:J20" xr:uid="{F2F33F5D-569A-4829-8DF8-AAE739D1D53E}"/>
  <tableColumns count="4">
    <tableColumn id="1" xr3:uid="{8380A03D-6374-4AB6-813D-6D79816885A0}" uniqueName="1" name="Art" queryTableFieldId="1"/>
    <tableColumn id="2" xr3:uid="{952DA1C4-6E99-4742-A271-964C8D0671F7}" uniqueName="2" name="Prix Sfa" queryTableFieldId="2"/>
    <tableColumn id="3" xr3:uid="{F45DCADC-4E72-4596-B9D7-B59400C4CDA9}" uniqueName="3" name="Prix Log" queryTableFieldId="3"/>
    <tableColumn id="4" xr3:uid="{4F0CAE48-3377-404F-8F35-1D910116F348}" uniqueName="4" name="Ecart Prix" queryTableFieldId="4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843C6C2-E817-47FF-87FD-60901134B805}" name="Tableau7" displayName="Tableau7" ref="AG6:AK122" totalsRowShown="0">
  <autoFilter ref="AG6:AK122" xr:uid="{F843C6C2-E817-47FF-87FD-60901134B805}"/>
  <tableColumns count="5">
    <tableColumn id="1" xr3:uid="{FAF54F98-BA94-4B47-A273-B2076E2EC844}" name="Art" dataDxfId="27"/>
    <tableColumn id="2" xr3:uid="{5ACB12EC-098C-4A4D-B398-EB751EB35A22}" name="Qte Sfa"/>
    <tableColumn id="3" xr3:uid="{BC95115A-C94D-4EC0-9FCF-09B521954823}" name="Qte Log"/>
    <tableColumn id="4" xr3:uid="{DA5EF510-C8EE-4A4D-8ED4-95A4A758CFD0}" name="Ecart Qte"/>
    <tableColumn id="5" xr3:uid="{01303877-E631-4C79-B630-9E51265F45B6}" name="OBSERVA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09486F-7C1B-449D-9EC7-7E774E7823AD}" name="dernier_MSJ" displayName="dernier_MSJ" ref="E5:E6" tableType="queryTable" totalsRowShown="0" headerRowDxfId="26" dataDxfId="25">
  <autoFilter ref="E5:E6" xr:uid="{8609486F-7C1B-449D-9EC7-7E774E7823AD}"/>
  <tableColumns count="1">
    <tableColumn id="1" xr3:uid="{223B6534-5404-40F6-B967-603435133BBA}" uniqueName="1" name="dernier MSJ" queryTableFieldId="1" dataDxf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82E721-8276-4CB7-8E6E-BF0211D1CF1E}" name="Tableau77" displayName="Tableau77" ref="D1:D4" totalsRowShown="0" headerRowDxfId="24" dataDxfId="22" headerRowBorderDxfId="23" tableBorderDxfId="21" totalsRowBorderDxfId="20" headerRowCellStyle="Lien hypertexte" dataCellStyle="Lien hypertexte">
  <autoFilter ref="D1:D4" xr:uid="{9D82E721-8276-4CB7-8E6E-BF0211D1CF1E}"/>
  <tableColumns count="1">
    <tableColumn id="1" xr3:uid="{FFE5712A-B673-4F33-9ABF-FB7BA09762BB}" name="LIENS" dataDxfId="19" dataCellStyle="Lien hypertex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1922A37-C911-4FEA-81B6-68EED5306DA7}" name="Tableau8" displayName="Tableau8" ref="L2:L6" totalsRowShown="0">
  <autoFilter ref="L2:L6" xr:uid="{C1922A37-C911-4FEA-81B6-68EED5306DA7}"/>
  <tableColumns count="1">
    <tableColumn id="1" xr3:uid="{1AE6CE72-9778-4318-848A-2C38B25696A9}" name="Selectionnez les emplaceme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76F212-032C-4DE6-981A-81A06D239D79}" name="Tableau12" displayName="Tableau12" ref="F1:J7" totalsRowShown="0" headerRowDxfId="15" dataDxfId="14" tableBorderDxfId="13">
  <autoFilter ref="F1:J7" xr:uid="{7076F212-032C-4DE6-981A-81A06D239D79}"/>
  <sortState xmlns:xlrd2="http://schemas.microsoft.com/office/spreadsheetml/2017/richdata2" ref="F2:J20">
    <sortCondition ref="F1:F20"/>
  </sortState>
  <tableColumns count="5">
    <tableColumn id="1" xr3:uid="{F94B30A9-0EB1-4067-B967-D4ADFAE66F1D}" name="Art" dataDxfId="12"/>
    <tableColumn id="2" xr3:uid="{12F7DB34-7686-4830-A1D0-0F8B136AE4F0}" name="Qte Sfa" dataDxfId="11"/>
    <tableColumn id="3" xr3:uid="{0E5987C6-412C-49BE-AF05-95DFD39B4761}" name="Qte Log" dataDxfId="10"/>
    <tableColumn id="4" xr3:uid="{A963111B-2440-48E6-AC8C-CF7909A1EF7C}" name="Ecart Qte" dataDxfId="9">
      <calculatedColumnFormula>+G2-H2</calculatedColumnFormula>
    </tableColumn>
    <tableColumn id="5" xr3:uid="{ED5D9B2A-D4BD-4DE9-923D-4099A2F6BD70}" name="OBSERVATION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4CB89-5994-4885-B33B-29C704FCC7DA}" name="Tableau6" displayName="Tableau6" ref="J2:J5" totalsRowShown="0">
  <autoFilter ref="J2:J5" xr:uid="{EE84CB89-5994-4885-B33B-29C704FCC7DA}"/>
  <tableColumns count="1">
    <tableColumn id="1" xr3:uid="{F2736191-1806-458E-9722-7AE0686E0380}" name="chemins">
      <calculatedColumnFormula array="1">+CELL("nomfichier",#REF!)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8.xml"/><Relationship Id="rId2" Type="http://schemas.openxmlformats.org/officeDocument/2006/relationships/hyperlink" Target="../11.%20TELECHARGEMENT/Articles%20-%20SIG%20Service%20ERP.html" TargetMode="External"/><Relationship Id="rId1" Type="http://schemas.openxmlformats.org/officeDocument/2006/relationships/hyperlink" Target="../11.%20TELECHARGEMENT/Quants%20-%20SIG%20Service%20ERP.html" TargetMode="Externa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92B40-7F55-4344-8C98-782A67A083A6}">
  <sheetPr codeName="Feuil1"/>
  <dimension ref="A1:F2080"/>
  <sheetViews>
    <sheetView topLeftCell="B1994" workbookViewId="0">
      <selection activeCell="F2080" sqref="F2080"/>
    </sheetView>
  </sheetViews>
  <sheetFormatPr baseColWidth="10" defaultRowHeight="15" x14ac:dyDescent="0.25"/>
  <cols>
    <col min="1" max="1" width="10.28515625" hidden="1" customWidth="1"/>
    <col min="2" max="2" width="43.140625" customWidth="1"/>
    <col min="3" max="3" width="9.85546875" style="3" bestFit="1" customWidth="1"/>
    <col min="6" max="6" width="58.140625" bestFit="1" customWidth="1"/>
  </cols>
  <sheetData>
    <row r="1" spans="1:6" ht="21" x14ac:dyDescent="0.3">
      <c r="B1" s="20" t="s">
        <v>47</v>
      </c>
      <c r="C1" s="20"/>
      <c r="F1" s="2" t="s">
        <v>48</v>
      </c>
    </row>
    <row r="2" spans="1:6" x14ac:dyDescent="0.25">
      <c r="A2" t="s">
        <v>0</v>
      </c>
      <c r="B2" t="s">
        <v>0</v>
      </c>
      <c r="C2" t="s">
        <v>21</v>
      </c>
      <c r="F2" t="s">
        <v>46</v>
      </c>
    </row>
    <row r="3" spans="1:6" x14ac:dyDescent="0.25">
      <c r="A3" t="s">
        <v>20</v>
      </c>
      <c r="B3" t="str">
        <f>+IFERROR(IF(prix_manquats[[#This Row],[ARTICLE]]="","",prix_manquats[[#This Row],[ARTICLE]]),"")</f>
        <v>LYNA-T40X60</v>
      </c>
      <c r="C3" s="3">
        <v>1</v>
      </c>
      <c r="F3" s="1" t="s">
        <v>2151</v>
      </c>
    </row>
    <row r="4" spans="1:6" x14ac:dyDescent="0.25">
      <c r="A4" t="s">
        <v>4278</v>
      </c>
      <c r="B4" t="str">
        <f>+IFERROR(IF(prix_manquats[[#This Row],[ARTICLE]]="","",prix_manquats[[#This Row],[ARTICLE]]),"")</f>
        <v>DIADEME-S100X235</v>
      </c>
      <c r="C4" s="3">
        <v>180</v>
      </c>
      <c r="F4" s="1" t="s">
        <v>2152</v>
      </c>
    </row>
    <row r="5" spans="1:6" x14ac:dyDescent="0.25">
      <c r="A5" t="s">
        <v>4347</v>
      </c>
      <c r="B5" t="str">
        <f>+IFERROR(IF(prix_manquats[[#This Row],[ARTICLE]]="","",prix_manquats[[#This Row],[ARTICLE]]),"")</f>
        <v>NOMADE-E155X284</v>
      </c>
      <c r="C5" s="3">
        <v>170</v>
      </c>
      <c r="F5" s="1" t="s">
        <v>2150</v>
      </c>
    </row>
    <row r="6" spans="1:6" x14ac:dyDescent="0.25">
      <c r="A6" t="s">
        <v>4575</v>
      </c>
      <c r="B6" t="str">
        <f>+IFERROR(IF(prix_manquats[[#This Row],[ARTICLE]]="","",prix_manquats[[#This Row],[ARTICLE]]),"")</f>
        <v>ELIF-C100X2000</v>
      </c>
      <c r="C6" s="3">
        <v>400</v>
      </c>
      <c r="F6" s="1" t="s">
        <v>2159</v>
      </c>
    </row>
    <row r="7" spans="1:6" x14ac:dyDescent="0.25">
      <c r="A7" t="s">
        <v>4576</v>
      </c>
      <c r="B7" t="str">
        <f>+IFERROR(IF(prix_manquats[[#This Row],[ARTICLE]]="","",prix_manquats[[#This Row],[ARTICLE]]),"")</f>
        <v>ALICANTE-C80X2000</v>
      </c>
      <c r="F7" s="1" t="s">
        <v>2160</v>
      </c>
    </row>
    <row r="8" spans="1:6" x14ac:dyDescent="0.25">
      <c r="A8" t="s">
        <v>4577</v>
      </c>
      <c r="B8" t="str">
        <f>+IFERROR(IF(prix_manquats[[#This Row],[ARTICLE]]="","",prix_manquats[[#This Row],[ARTICLE]]),"")</f>
        <v>ALICANTE-C100X2000</v>
      </c>
      <c r="F8" s="1" t="s">
        <v>2148</v>
      </c>
    </row>
    <row r="9" spans="1:6" x14ac:dyDescent="0.25">
      <c r="A9" t="s">
        <v>4578</v>
      </c>
      <c r="B9" t="str">
        <f>+IFERROR(IF(prix_manquats[[#This Row],[ARTICLE]]="","",prix_manquats[[#This Row],[ARTICLE]]),"")</f>
        <v>ALICANTE-C120X2000</v>
      </c>
      <c r="F9" s="1" t="s">
        <v>2149</v>
      </c>
    </row>
    <row r="10" spans="1:6" x14ac:dyDescent="0.25">
      <c r="A10" t="s">
        <v>4579</v>
      </c>
      <c r="B10" t="str">
        <f>+IFERROR(IF(prix_manquats[[#This Row],[ARTICLE]]="","",prix_manquats[[#This Row],[ARTICLE]]),"")</f>
        <v>ALICANTE-O160X220</v>
      </c>
      <c r="F10" s="1" t="s">
        <v>815</v>
      </c>
    </row>
    <row r="11" spans="1:6" x14ac:dyDescent="0.25">
      <c r="A11" t="s">
        <v>4580</v>
      </c>
      <c r="B11" t="str">
        <f>+IFERROR(IF(prix_manquats[[#This Row],[ARTICLE]]="","",prix_manquats[[#This Row],[ARTICLE]]),"")</f>
        <v>ALICANTE-R160X160</v>
      </c>
      <c r="F11" s="1" t="s">
        <v>816</v>
      </c>
    </row>
    <row r="12" spans="1:6" x14ac:dyDescent="0.25">
      <c r="A12" t="s">
        <v>4581</v>
      </c>
      <c r="B12" t="str">
        <f>+IFERROR(IF(prix_manquats[[#This Row],[ARTICLE]]="","",prix_manquats[[#This Row],[ARTICLE]]),"")</f>
        <v>ELIF-C120X2000</v>
      </c>
      <c r="F12" s="1" t="s">
        <v>814</v>
      </c>
    </row>
    <row r="13" spans="1:6" x14ac:dyDescent="0.25">
      <c r="A13" t="s">
        <v>4582</v>
      </c>
      <c r="B13" t="str">
        <f>+IFERROR(IF(prix_manquats[[#This Row],[ARTICLE]]="","",prix_manquats[[#This Row],[ARTICLE]]),"")</f>
        <v>ELIF-R160X160</v>
      </c>
      <c r="F13" s="1" t="s">
        <v>2024</v>
      </c>
    </row>
    <row r="14" spans="1:6" x14ac:dyDescent="0.25">
      <c r="A14" t="s">
        <v>4583</v>
      </c>
      <c r="B14" t="str">
        <f>+IFERROR(IF(prix_manquats[[#This Row],[ARTICLE]]="","",prix_manquats[[#This Row],[ARTICLE]]),"")</f>
        <v>ELIF-T160X230</v>
      </c>
      <c r="F14" s="1" t="s">
        <v>2025</v>
      </c>
    </row>
    <row r="15" spans="1:6" x14ac:dyDescent="0.25">
      <c r="A15" t="s">
        <v>4584</v>
      </c>
      <c r="B15" t="str">
        <f>+IFERROR(IF(prix_manquats[[#This Row],[ARTICLE]]="","",prix_manquats[[#This Row],[ARTICLE]]),"")</f>
        <v>OPLAINE-S90X280</v>
      </c>
      <c r="F15" s="1" t="s">
        <v>2026</v>
      </c>
    </row>
    <row r="16" spans="1:6" x14ac:dyDescent="0.25">
      <c r="A16" t="s">
        <v>4585</v>
      </c>
      <c r="B16" t="str">
        <f>+IFERROR(IF(prix_manquats[[#This Row],[ARTICLE]]="","",prix_manquats[[#This Row],[ARTICLE]]),"")</f>
        <v>OPLAINE-SO90X280</v>
      </c>
      <c r="F16" s="1" t="s">
        <v>2119</v>
      </c>
    </row>
    <row r="17" spans="1:6" x14ac:dyDescent="0.25">
      <c r="A17" t="s">
        <v>4586</v>
      </c>
      <c r="B17" t="str">
        <f>+IFERROR(IF(prix_manquats[[#This Row],[ARTICLE]]="","",prix_manquats[[#This Row],[ARTICLE]]),"")</f>
        <v>SAHAR-T165X230</v>
      </c>
      <c r="F17" s="1" t="s">
        <v>1746</v>
      </c>
    </row>
    <row r="18" spans="1:6" x14ac:dyDescent="0.25">
      <c r="A18" t="s">
        <v>4587</v>
      </c>
      <c r="B18" t="str">
        <f>+IFERROR(IF(prix_manquats[[#This Row],[ARTICLE]]="","",prix_manquats[[#This Row],[ARTICLE]]),"")</f>
        <v>TURATH-T200X275</v>
      </c>
      <c r="F18" s="1" t="s">
        <v>2107</v>
      </c>
    </row>
    <row r="19" spans="1:6" x14ac:dyDescent="0.25">
      <c r="A19" t="s">
        <v>4588</v>
      </c>
      <c r="B19" t="str">
        <f>+IFERROR(IF(prix_manquats[[#This Row],[ARTICLE]]="","",prix_manquats[[#This Row],[ARTICLE]]),"")</f>
        <v>ELIF-O160X230</v>
      </c>
      <c r="F19" s="1" t="s">
        <v>1812</v>
      </c>
    </row>
    <row r="20" spans="1:6" x14ac:dyDescent="0.25">
      <c r="F20" s="1" t="s">
        <v>2538</v>
      </c>
    </row>
    <row r="21" spans="1:6" x14ac:dyDescent="0.25">
      <c r="F21" s="1" t="s">
        <v>1747</v>
      </c>
    </row>
    <row r="22" spans="1:6" x14ac:dyDescent="0.25">
      <c r="F22" s="1" t="s">
        <v>1906</v>
      </c>
    </row>
    <row r="23" spans="1:6" x14ac:dyDescent="0.25">
      <c r="F23" s="1" t="s">
        <v>2705</v>
      </c>
    </row>
    <row r="24" spans="1:6" x14ac:dyDescent="0.25">
      <c r="F24" s="1" t="s">
        <v>949</v>
      </c>
    </row>
    <row r="25" spans="1:6" x14ac:dyDescent="0.25">
      <c r="F25" s="1" t="s">
        <v>950</v>
      </c>
    </row>
    <row r="26" spans="1:6" x14ac:dyDescent="0.25">
      <c r="F26" s="1" t="s">
        <v>951</v>
      </c>
    </row>
    <row r="27" spans="1:6" x14ac:dyDescent="0.25">
      <c r="F27" s="1" t="s">
        <v>889</v>
      </c>
    </row>
    <row r="28" spans="1:6" x14ac:dyDescent="0.25">
      <c r="F28" s="1" t="s">
        <v>1511</v>
      </c>
    </row>
    <row r="29" spans="1:6" x14ac:dyDescent="0.25">
      <c r="F29" s="1" t="s">
        <v>975</v>
      </c>
    </row>
    <row r="30" spans="1:6" x14ac:dyDescent="0.25">
      <c r="F30" s="1" t="s">
        <v>1512</v>
      </c>
    </row>
    <row r="31" spans="1:6" x14ac:dyDescent="0.25">
      <c r="F31" s="1" t="s">
        <v>1788</v>
      </c>
    </row>
    <row r="32" spans="1:6" x14ac:dyDescent="0.25">
      <c r="F32" s="1" t="s">
        <v>1521</v>
      </c>
    </row>
    <row r="33" spans="6:6" x14ac:dyDescent="0.25">
      <c r="F33" s="1" t="s">
        <v>1295</v>
      </c>
    </row>
    <row r="34" spans="6:6" x14ac:dyDescent="0.25">
      <c r="F34" s="1" t="s">
        <v>1185</v>
      </c>
    </row>
    <row r="35" spans="6:6" x14ac:dyDescent="0.25">
      <c r="F35" s="1" t="s">
        <v>1510</v>
      </c>
    </row>
    <row r="36" spans="6:6" x14ac:dyDescent="0.25">
      <c r="F36" s="1" t="s">
        <v>1520</v>
      </c>
    </row>
    <row r="37" spans="6:6" x14ac:dyDescent="0.25">
      <c r="F37" s="1" t="s">
        <v>1351</v>
      </c>
    </row>
    <row r="38" spans="6:6" x14ac:dyDescent="0.25">
      <c r="F38" s="1" t="s">
        <v>968</v>
      </c>
    </row>
    <row r="39" spans="6:6" x14ac:dyDescent="0.25">
      <c r="F39" s="1" t="s">
        <v>974</v>
      </c>
    </row>
    <row r="40" spans="6:6" x14ac:dyDescent="0.25">
      <c r="F40" s="1" t="s">
        <v>1516</v>
      </c>
    </row>
    <row r="41" spans="6:6" x14ac:dyDescent="0.25">
      <c r="F41" s="1" t="s">
        <v>1066</v>
      </c>
    </row>
    <row r="42" spans="6:6" x14ac:dyDescent="0.25">
      <c r="F42" s="1" t="s">
        <v>971</v>
      </c>
    </row>
    <row r="43" spans="6:6" x14ac:dyDescent="0.25">
      <c r="F43" s="1" t="s">
        <v>1525</v>
      </c>
    </row>
    <row r="44" spans="6:6" x14ac:dyDescent="0.25">
      <c r="F44" s="1" t="s">
        <v>1620</v>
      </c>
    </row>
    <row r="45" spans="6:6" x14ac:dyDescent="0.25">
      <c r="F45" s="1" t="s">
        <v>1526</v>
      </c>
    </row>
    <row r="46" spans="6:6" x14ac:dyDescent="0.25">
      <c r="F46" s="1" t="s">
        <v>1353</v>
      </c>
    </row>
    <row r="47" spans="6:6" x14ac:dyDescent="0.25">
      <c r="F47" s="1" t="s">
        <v>972</v>
      </c>
    </row>
    <row r="48" spans="6:6" x14ac:dyDescent="0.25">
      <c r="F48" s="1" t="s">
        <v>832</v>
      </c>
    </row>
    <row r="49" spans="6:6" x14ac:dyDescent="0.25">
      <c r="F49" s="1" t="s">
        <v>921</v>
      </c>
    </row>
    <row r="50" spans="6:6" x14ac:dyDescent="0.25">
      <c r="F50" s="1" t="s">
        <v>973</v>
      </c>
    </row>
    <row r="51" spans="6:6" x14ac:dyDescent="0.25">
      <c r="F51" s="1" t="s">
        <v>1562</v>
      </c>
    </row>
    <row r="52" spans="6:6" x14ac:dyDescent="0.25">
      <c r="F52" s="1" t="s">
        <v>1560</v>
      </c>
    </row>
    <row r="53" spans="6:6" x14ac:dyDescent="0.25">
      <c r="F53" s="1" t="s">
        <v>1061</v>
      </c>
    </row>
    <row r="54" spans="6:6" x14ac:dyDescent="0.25">
      <c r="F54" s="1" t="s">
        <v>1563</v>
      </c>
    </row>
    <row r="55" spans="6:6" x14ac:dyDescent="0.25">
      <c r="F55" s="1" t="s">
        <v>1564</v>
      </c>
    </row>
    <row r="56" spans="6:6" x14ac:dyDescent="0.25">
      <c r="F56" s="1" t="s">
        <v>1565</v>
      </c>
    </row>
    <row r="57" spans="6:6" x14ac:dyDescent="0.25">
      <c r="F57" s="1" t="s">
        <v>789</v>
      </c>
    </row>
    <row r="58" spans="6:6" x14ac:dyDescent="0.25">
      <c r="F58" s="1" t="s">
        <v>1062</v>
      </c>
    </row>
    <row r="59" spans="6:6" x14ac:dyDescent="0.25">
      <c r="F59" s="1" t="s">
        <v>1063</v>
      </c>
    </row>
    <row r="60" spans="6:6" x14ac:dyDescent="0.25">
      <c r="F60" s="1" t="s">
        <v>1064</v>
      </c>
    </row>
    <row r="61" spans="6:6" x14ac:dyDescent="0.25">
      <c r="F61" s="1" t="s">
        <v>1296</v>
      </c>
    </row>
    <row r="62" spans="6:6" x14ac:dyDescent="0.25">
      <c r="F62" s="1" t="s">
        <v>1297</v>
      </c>
    </row>
    <row r="63" spans="6:6" x14ac:dyDescent="0.25">
      <c r="F63" s="1" t="s">
        <v>1513</v>
      </c>
    </row>
    <row r="64" spans="6:6" x14ac:dyDescent="0.25">
      <c r="F64" s="1" t="s">
        <v>1561</v>
      </c>
    </row>
    <row r="65" spans="6:6" x14ac:dyDescent="0.25">
      <c r="F65" s="1" t="s">
        <v>1514</v>
      </c>
    </row>
    <row r="66" spans="6:6" x14ac:dyDescent="0.25">
      <c r="F66" s="1" t="s">
        <v>1522</v>
      </c>
    </row>
    <row r="67" spans="6:6" x14ac:dyDescent="0.25">
      <c r="F67" s="1" t="s">
        <v>1523</v>
      </c>
    </row>
    <row r="68" spans="6:6" x14ac:dyDescent="0.25">
      <c r="F68" s="1" t="s">
        <v>1524</v>
      </c>
    </row>
    <row r="69" spans="6:6" x14ac:dyDescent="0.25">
      <c r="F69" s="1" t="s">
        <v>1065</v>
      </c>
    </row>
    <row r="70" spans="6:6" x14ac:dyDescent="0.25">
      <c r="F70" s="1" t="s">
        <v>1515</v>
      </c>
    </row>
    <row r="71" spans="6:6" x14ac:dyDescent="0.25">
      <c r="F71" s="1" t="s">
        <v>969</v>
      </c>
    </row>
    <row r="72" spans="6:6" x14ac:dyDescent="0.25">
      <c r="F72" s="1" t="s">
        <v>970</v>
      </c>
    </row>
    <row r="73" spans="6:6" x14ac:dyDescent="0.25">
      <c r="F73" s="1" t="s">
        <v>831</v>
      </c>
    </row>
    <row r="74" spans="6:6" x14ac:dyDescent="0.25">
      <c r="F74" s="1" t="s">
        <v>925</v>
      </c>
    </row>
    <row r="75" spans="6:6" x14ac:dyDescent="0.25">
      <c r="F75" s="1" t="s">
        <v>730</v>
      </c>
    </row>
    <row r="76" spans="6:6" x14ac:dyDescent="0.25">
      <c r="F76" s="1" t="s">
        <v>2054</v>
      </c>
    </row>
    <row r="77" spans="6:6" x14ac:dyDescent="0.25">
      <c r="F77" s="1" t="s">
        <v>1732</v>
      </c>
    </row>
    <row r="78" spans="6:6" x14ac:dyDescent="0.25">
      <c r="F78" s="1" t="s">
        <v>1733</v>
      </c>
    </row>
    <row r="79" spans="6:6" x14ac:dyDescent="0.25">
      <c r="F79" s="1" t="s">
        <v>2096</v>
      </c>
    </row>
    <row r="80" spans="6:6" x14ac:dyDescent="0.25">
      <c r="F80" s="1" t="s">
        <v>2039</v>
      </c>
    </row>
    <row r="81" spans="6:6" x14ac:dyDescent="0.25">
      <c r="F81" s="1" t="s">
        <v>2121</v>
      </c>
    </row>
    <row r="82" spans="6:6" x14ac:dyDescent="0.25">
      <c r="F82" s="1" t="s">
        <v>2050</v>
      </c>
    </row>
    <row r="83" spans="6:6" x14ac:dyDescent="0.25">
      <c r="F83" s="1" t="s">
        <v>1748</v>
      </c>
    </row>
    <row r="84" spans="6:6" x14ac:dyDescent="0.25">
      <c r="F84" s="1" t="s">
        <v>1907</v>
      </c>
    </row>
    <row r="85" spans="6:6" x14ac:dyDescent="0.25">
      <c r="F85" s="1" t="s">
        <v>2106</v>
      </c>
    </row>
    <row r="86" spans="6:6" x14ac:dyDescent="0.25">
      <c r="F86" s="1" t="s">
        <v>2579</v>
      </c>
    </row>
    <row r="87" spans="6:6" x14ac:dyDescent="0.25">
      <c r="F87" s="1" t="s">
        <v>2143</v>
      </c>
    </row>
    <row r="88" spans="6:6" x14ac:dyDescent="0.25">
      <c r="F88" s="1" t="s">
        <v>2144</v>
      </c>
    </row>
    <row r="89" spans="6:6" x14ac:dyDescent="0.25">
      <c r="F89" s="1" t="s">
        <v>1749</v>
      </c>
    </row>
    <row r="90" spans="6:6" x14ac:dyDescent="0.25">
      <c r="F90" s="1" t="s">
        <v>1900</v>
      </c>
    </row>
    <row r="91" spans="6:6" x14ac:dyDescent="0.25">
      <c r="F91" s="1" t="s">
        <v>2790</v>
      </c>
    </row>
    <row r="92" spans="6:6" x14ac:dyDescent="0.25">
      <c r="F92" s="1" t="s">
        <v>1989</v>
      </c>
    </row>
    <row r="93" spans="6:6" x14ac:dyDescent="0.25">
      <c r="F93" s="1" t="s">
        <v>2818</v>
      </c>
    </row>
    <row r="94" spans="6:6" x14ac:dyDescent="0.25">
      <c r="F94" s="1" t="s">
        <v>2082</v>
      </c>
    </row>
    <row r="95" spans="6:6" x14ac:dyDescent="0.25">
      <c r="F95" s="1" t="s">
        <v>1952</v>
      </c>
    </row>
    <row r="96" spans="6:6" x14ac:dyDescent="0.25">
      <c r="F96" s="1" t="s">
        <v>2267</v>
      </c>
    </row>
    <row r="97" spans="6:6" x14ac:dyDescent="0.25">
      <c r="F97" s="1" t="s">
        <v>2087</v>
      </c>
    </row>
    <row r="98" spans="6:6" x14ac:dyDescent="0.25">
      <c r="F98" s="1" t="s">
        <v>2009</v>
      </c>
    </row>
    <row r="99" spans="6:6" x14ac:dyDescent="0.25">
      <c r="F99" s="1" t="s">
        <v>2819</v>
      </c>
    </row>
    <row r="100" spans="6:6" x14ac:dyDescent="0.25">
      <c r="F100" s="1" t="s">
        <v>2038</v>
      </c>
    </row>
    <row r="101" spans="6:6" x14ac:dyDescent="0.25">
      <c r="F101" s="1" t="s">
        <v>2115</v>
      </c>
    </row>
    <row r="102" spans="6:6" x14ac:dyDescent="0.25">
      <c r="F102" s="1" t="s">
        <v>2027</v>
      </c>
    </row>
    <row r="103" spans="6:6" x14ac:dyDescent="0.25">
      <c r="F103" s="1" t="s">
        <v>2037</v>
      </c>
    </row>
    <row r="104" spans="6:6" x14ac:dyDescent="0.25">
      <c r="F104" s="1" t="s">
        <v>2005</v>
      </c>
    </row>
    <row r="105" spans="6:6" x14ac:dyDescent="0.25">
      <c r="F105" s="1" t="s">
        <v>2102</v>
      </c>
    </row>
    <row r="106" spans="6:6" x14ac:dyDescent="0.25">
      <c r="F106" s="1" t="s">
        <v>1908</v>
      </c>
    </row>
    <row r="107" spans="6:6" x14ac:dyDescent="0.25">
      <c r="F107" s="1" t="s">
        <v>1909</v>
      </c>
    </row>
    <row r="108" spans="6:6" x14ac:dyDescent="0.25">
      <c r="F108" s="1" t="s">
        <v>2018</v>
      </c>
    </row>
    <row r="109" spans="6:6" x14ac:dyDescent="0.25">
      <c r="F109" s="1" t="s">
        <v>2060</v>
      </c>
    </row>
    <row r="110" spans="6:6" x14ac:dyDescent="0.25">
      <c r="F110" s="1" t="s">
        <v>2061</v>
      </c>
    </row>
    <row r="111" spans="6:6" x14ac:dyDescent="0.25">
      <c r="F111" s="1" t="s">
        <v>2057</v>
      </c>
    </row>
    <row r="112" spans="6:6" x14ac:dyDescent="0.25">
      <c r="F112" s="1" t="s">
        <v>1613</v>
      </c>
    </row>
    <row r="113" spans="6:6" x14ac:dyDescent="0.25">
      <c r="F113" s="1" t="s">
        <v>1590</v>
      </c>
    </row>
    <row r="114" spans="6:6" x14ac:dyDescent="0.25">
      <c r="F114" s="1" t="s">
        <v>1617</v>
      </c>
    </row>
    <row r="115" spans="6:6" x14ac:dyDescent="0.25">
      <c r="F115" s="1" t="s">
        <v>1606</v>
      </c>
    </row>
    <row r="116" spans="6:6" x14ac:dyDescent="0.25">
      <c r="F116" s="1" t="s">
        <v>1607</v>
      </c>
    </row>
    <row r="117" spans="6:6" x14ac:dyDescent="0.25">
      <c r="F117" s="1" t="s">
        <v>1608</v>
      </c>
    </row>
    <row r="118" spans="6:6" x14ac:dyDescent="0.25">
      <c r="F118" s="1" t="s">
        <v>1618</v>
      </c>
    </row>
    <row r="119" spans="6:6" x14ac:dyDescent="0.25">
      <c r="F119" s="1" t="s">
        <v>1609</v>
      </c>
    </row>
    <row r="120" spans="6:6" x14ac:dyDescent="0.25">
      <c r="F120" s="1" t="s">
        <v>1591</v>
      </c>
    </row>
    <row r="121" spans="6:6" x14ac:dyDescent="0.25">
      <c r="F121" s="1" t="s">
        <v>1594</v>
      </c>
    </row>
    <row r="122" spans="6:6" x14ac:dyDescent="0.25">
      <c r="F122" s="1" t="s">
        <v>1593</v>
      </c>
    </row>
    <row r="123" spans="6:6" x14ac:dyDescent="0.25">
      <c r="F123" s="1" t="s">
        <v>1592</v>
      </c>
    </row>
    <row r="124" spans="6:6" x14ac:dyDescent="0.25">
      <c r="F124" s="1" t="s">
        <v>1610</v>
      </c>
    </row>
    <row r="125" spans="6:6" x14ac:dyDescent="0.25">
      <c r="F125" s="1" t="s">
        <v>1619</v>
      </c>
    </row>
    <row r="126" spans="6:6" x14ac:dyDescent="0.25">
      <c r="F126" s="1" t="s">
        <v>1611</v>
      </c>
    </row>
    <row r="127" spans="6:6" x14ac:dyDescent="0.25">
      <c r="F127" s="1" t="s">
        <v>1595</v>
      </c>
    </row>
    <row r="128" spans="6:6" x14ac:dyDescent="0.25">
      <c r="F128" s="1" t="s">
        <v>1596</v>
      </c>
    </row>
    <row r="129" spans="6:6" x14ac:dyDescent="0.25">
      <c r="F129" s="1" t="s">
        <v>1614</v>
      </c>
    </row>
    <row r="130" spans="6:6" x14ac:dyDescent="0.25">
      <c r="F130" s="1" t="s">
        <v>1598</v>
      </c>
    </row>
    <row r="131" spans="6:6" x14ac:dyDescent="0.25">
      <c r="F131" s="1" t="s">
        <v>1597</v>
      </c>
    </row>
    <row r="132" spans="6:6" x14ac:dyDescent="0.25">
      <c r="F132" s="1" t="s">
        <v>1615</v>
      </c>
    </row>
    <row r="133" spans="6:6" x14ac:dyDescent="0.25">
      <c r="F133" s="1" t="s">
        <v>1599</v>
      </c>
    </row>
    <row r="134" spans="6:6" x14ac:dyDescent="0.25">
      <c r="F134" s="1" t="s">
        <v>1600</v>
      </c>
    </row>
    <row r="135" spans="6:6" x14ac:dyDescent="0.25">
      <c r="F135" s="1" t="s">
        <v>1601</v>
      </c>
    </row>
    <row r="136" spans="6:6" x14ac:dyDescent="0.25">
      <c r="F136" s="1" t="s">
        <v>1602</v>
      </c>
    </row>
    <row r="137" spans="6:6" x14ac:dyDescent="0.25">
      <c r="F137" s="1" t="s">
        <v>1603</v>
      </c>
    </row>
    <row r="138" spans="6:6" x14ac:dyDescent="0.25">
      <c r="F138" s="1" t="s">
        <v>1616</v>
      </c>
    </row>
    <row r="139" spans="6:6" x14ac:dyDescent="0.25">
      <c r="F139" s="1" t="s">
        <v>1605</v>
      </c>
    </row>
    <row r="140" spans="6:6" x14ac:dyDescent="0.25">
      <c r="F140" s="1" t="s">
        <v>1604</v>
      </c>
    </row>
    <row r="141" spans="6:6" x14ac:dyDescent="0.25">
      <c r="F141" s="1" t="s">
        <v>930</v>
      </c>
    </row>
    <row r="142" spans="6:6" x14ac:dyDescent="0.25">
      <c r="F142" s="1" t="s">
        <v>729</v>
      </c>
    </row>
    <row r="143" spans="6:6" x14ac:dyDescent="0.25">
      <c r="F143" s="1" t="s">
        <v>734</v>
      </c>
    </row>
    <row r="144" spans="6:6" x14ac:dyDescent="0.25">
      <c r="F144" s="1" t="s">
        <v>1777</v>
      </c>
    </row>
    <row r="145" spans="6:6" x14ac:dyDescent="0.25">
      <c r="F145" s="1" t="s">
        <v>2285</v>
      </c>
    </row>
    <row r="146" spans="6:6" x14ac:dyDescent="0.25">
      <c r="F146" s="1" t="s">
        <v>1750</v>
      </c>
    </row>
    <row r="147" spans="6:6" x14ac:dyDescent="0.25">
      <c r="F147" s="1" t="s">
        <v>1990</v>
      </c>
    </row>
    <row r="148" spans="6:6" x14ac:dyDescent="0.25">
      <c r="F148" s="1" t="s">
        <v>1995</v>
      </c>
    </row>
    <row r="149" spans="6:6" x14ac:dyDescent="0.25">
      <c r="F149" s="1" t="s">
        <v>2280</v>
      </c>
    </row>
    <row r="150" spans="6:6" x14ac:dyDescent="0.25">
      <c r="F150" s="1" t="s">
        <v>1751</v>
      </c>
    </row>
    <row r="151" spans="6:6" x14ac:dyDescent="0.25">
      <c r="F151" s="1" t="s">
        <v>1901</v>
      </c>
    </row>
    <row r="152" spans="6:6" x14ac:dyDescent="0.25">
      <c r="F152" s="1" t="s">
        <v>1813</v>
      </c>
    </row>
    <row r="153" spans="6:6" x14ac:dyDescent="0.25">
      <c r="F153" s="1" t="s">
        <v>2299</v>
      </c>
    </row>
    <row r="154" spans="6:6" x14ac:dyDescent="0.25">
      <c r="F154" s="1" t="s">
        <v>1910</v>
      </c>
    </row>
    <row r="155" spans="6:6" x14ac:dyDescent="0.25">
      <c r="F155" s="1" t="s">
        <v>2064</v>
      </c>
    </row>
    <row r="156" spans="6:6" x14ac:dyDescent="0.25">
      <c r="F156" s="1" t="s">
        <v>1041</v>
      </c>
    </row>
    <row r="157" spans="6:6" x14ac:dyDescent="0.25">
      <c r="F157" s="1" t="s">
        <v>1067</v>
      </c>
    </row>
    <row r="158" spans="6:6" x14ac:dyDescent="0.25">
      <c r="F158" s="1" t="s">
        <v>938</v>
      </c>
    </row>
    <row r="159" spans="6:6" x14ac:dyDescent="0.25">
      <c r="F159" s="1" t="s">
        <v>1566</v>
      </c>
    </row>
    <row r="160" spans="6:6" x14ac:dyDescent="0.25">
      <c r="F160" s="1" t="s">
        <v>1068</v>
      </c>
    </row>
    <row r="161" spans="6:6" x14ac:dyDescent="0.25">
      <c r="F161" s="1" t="s">
        <v>1636</v>
      </c>
    </row>
    <row r="162" spans="6:6" x14ac:dyDescent="0.25">
      <c r="F162" s="1" t="s">
        <v>1126</v>
      </c>
    </row>
    <row r="163" spans="6:6" x14ac:dyDescent="0.25">
      <c r="F163" s="1" t="s">
        <v>1576</v>
      </c>
    </row>
    <row r="164" spans="6:6" x14ac:dyDescent="0.25">
      <c r="F164" s="1" t="s">
        <v>1577</v>
      </c>
    </row>
    <row r="165" spans="6:6" x14ac:dyDescent="0.25">
      <c r="F165" s="1" t="s">
        <v>1567</v>
      </c>
    </row>
    <row r="166" spans="6:6" x14ac:dyDescent="0.25">
      <c r="F166" s="1" t="s">
        <v>1069</v>
      </c>
    </row>
    <row r="167" spans="6:6" x14ac:dyDescent="0.25">
      <c r="F167" s="1" t="s">
        <v>1568</v>
      </c>
    </row>
    <row r="168" spans="6:6" x14ac:dyDescent="0.25">
      <c r="F168" s="1" t="s">
        <v>1569</v>
      </c>
    </row>
    <row r="169" spans="6:6" x14ac:dyDescent="0.25">
      <c r="F169" s="1" t="s">
        <v>1570</v>
      </c>
    </row>
    <row r="170" spans="6:6" x14ac:dyDescent="0.25">
      <c r="F170" s="1" t="s">
        <v>1572</v>
      </c>
    </row>
    <row r="171" spans="6:6" x14ac:dyDescent="0.25">
      <c r="F171" s="1" t="s">
        <v>1573</v>
      </c>
    </row>
    <row r="172" spans="6:6" x14ac:dyDescent="0.25">
      <c r="F172" s="1" t="s">
        <v>1574</v>
      </c>
    </row>
    <row r="173" spans="6:6" x14ac:dyDescent="0.25">
      <c r="F173" s="1" t="s">
        <v>1575</v>
      </c>
    </row>
    <row r="174" spans="6:6" x14ac:dyDescent="0.25">
      <c r="F174" s="1" t="s">
        <v>939</v>
      </c>
    </row>
    <row r="175" spans="6:6" x14ac:dyDescent="0.25">
      <c r="F175" s="1" t="s">
        <v>940</v>
      </c>
    </row>
    <row r="176" spans="6:6" x14ac:dyDescent="0.25">
      <c r="F176" s="1" t="s">
        <v>926</v>
      </c>
    </row>
    <row r="177" spans="6:6" x14ac:dyDescent="0.25">
      <c r="F177" s="1" t="s">
        <v>731</v>
      </c>
    </row>
    <row r="178" spans="6:6" x14ac:dyDescent="0.25">
      <c r="F178" s="1" t="s">
        <v>1899</v>
      </c>
    </row>
    <row r="179" spans="6:6" x14ac:dyDescent="0.25">
      <c r="F179" s="1" t="s">
        <v>1778</v>
      </c>
    </row>
    <row r="180" spans="6:6" x14ac:dyDescent="0.25">
      <c r="F180" s="1" t="s">
        <v>1779</v>
      </c>
    </row>
    <row r="181" spans="6:6" x14ac:dyDescent="0.25">
      <c r="F181" s="1" t="s">
        <v>2307</v>
      </c>
    </row>
    <row r="182" spans="6:6" x14ac:dyDescent="0.25">
      <c r="F182" s="1" t="s">
        <v>1429</v>
      </c>
    </row>
    <row r="183" spans="6:6" x14ac:dyDescent="0.25">
      <c r="F183" s="1" t="s">
        <v>1519</v>
      </c>
    </row>
    <row r="184" spans="6:6" x14ac:dyDescent="0.25">
      <c r="F184" s="1" t="s">
        <v>1637</v>
      </c>
    </row>
    <row r="185" spans="6:6" x14ac:dyDescent="0.25">
      <c r="F185" s="1" t="s">
        <v>1586</v>
      </c>
    </row>
    <row r="186" spans="6:6" x14ac:dyDescent="0.25">
      <c r="F186" s="1" t="s">
        <v>1430</v>
      </c>
    </row>
    <row r="187" spans="6:6" x14ac:dyDescent="0.25">
      <c r="F187" s="1" t="s">
        <v>1639</v>
      </c>
    </row>
    <row r="188" spans="6:6" x14ac:dyDescent="0.25">
      <c r="F188" s="1" t="s">
        <v>1587</v>
      </c>
    </row>
    <row r="189" spans="6:6" x14ac:dyDescent="0.25">
      <c r="F189" s="1" t="s">
        <v>1640</v>
      </c>
    </row>
    <row r="190" spans="6:6" x14ac:dyDescent="0.25">
      <c r="F190" s="1" t="s">
        <v>1579</v>
      </c>
    </row>
    <row r="191" spans="6:6" x14ac:dyDescent="0.25">
      <c r="F191" s="1" t="s">
        <v>1578</v>
      </c>
    </row>
    <row r="192" spans="6:6" x14ac:dyDescent="0.25">
      <c r="F192" s="1" t="s">
        <v>1580</v>
      </c>
    </row>
    <row r="193" spans="6:6" x14ac:dyDescent="0.25">
      <c r="F193" s="1" t="s">
        <v>1581</v>
      </c>
    </row>
    <row r="194" spans="6:6" x14ac:dyDescent="0.25">
      <c r="F194" s="1" t="s">
        <v>1582</v>
      </c>
    </row>
    <row r="195" spans="6:6" x14ac:dyDescent="0.25">
      <c r="F195" s="1" t="s">
        <v>1583</v>
      </c>
    </row>
    <row r="196" spans="6:6" x14ac:dyDescent="0.25">
      <c r="F196" s="1" t="s">
        <v>1584</v>
      </c>
    </row>
    <row r="197" spans="6:6" x14ac:dyDescent="0.25">
      <c r="F197" s="1" t="s">
        <v>1585</v>
      </c>
    </row>
    <row r="198" spans="6:6" x14ac:dyDescent="0.25">
      <c r="F198" s="1" t="s">
        <v>1683</v>
      </c>
    </row>
    <row r="199" spans="6:6" x14ac:dyDescent="0.25">
      <c r="F199" s="1" t="s">
        <v>1763</v>
      </c>
    </row>
    <row r="200" spans="6:6" x14ac:dyDescent="0.25">
      <c r="F200" s="1" t="s">
        <v>2019</v>
      </c>
    </row>
    <row r="201" spans="6:6" x14ac:dyDescent="0.25">
      <c r="F201" s="1" t="s">
        <v>2065</v>
      </c>
    </row>
    <row r="202" spans="6:6" x14ac:dyDescent="0.25">
      <c r="F202" s="1" t="s">
        <v>2070</v>
      </c>
    </row>
    <row r="203" spans="6:6" x14ac:dyDescent="0.25">
      <c r="F203" s="1" t="s">
        <v>2071</v>
      </c>
    </row>
    <row r="204" spans="6:6" x14ac:dyDescent="0.25">
      <c r="F204" s="1" t="s">
        <v>1528</v>
      </c>
    </row>
    <row r="205" spans="6:6" x14ac:dyDescent="0.25">
      <c r="F205" s="1" t="s">
        <v>1629</v>
      </c>
    </row>
    <row r="206" spans="6:6" x14ac:dyDescent="0.25">
      <c r="F206" s="1" t="s">
        <v>1630</v>
      </c>
    </row>
    <row r="207" spans="6:6" x14ac:dyDescent="0.25">
      <c r="F207" s="1" t="s">
        <v>1557</v>
      </c>
    </row>
    <row r="208" spans="6:6" x14ac:dyDescent="0.25">
      <c r="F208" s="1" t="s">
        <v>2083</v>
      </c>
    </row>
    <row r="209" spans="6:6" x14ac:dyDescent="0.25">
      <c r="F209" s="1" t="s">
        <v>2748</v>
      </c>
    </row>
    <row r="210" spans="6:6" x14ac:dyDescent="0.25">
      <c r="F210" s="1" t="s">
        <v>2749</v>
      </c>
    </row>
    <row r="211" spans="6:6" x14ac:dyDescent="0.25">
      <c r="F211" s="1" t="s">
        <v>2104</v>
      </c>
    </row>
    <row r="212" spans="6:6" x14ac:dyDescent="0.25">
      <c r="F212" s="1" t="s">
        <v>2103</v>
      </c>
    </row>
    <row r="213" spans="6:6" x14ac:dyDescent="0.25">
      <c r="F213" s="1" t="s">
        <v>2254</v>
      </c>
    </row>
    <row r="214" spans="6:6" x14ac:dyDescent="0.25">
      <c r="F214" s="1" t="s">
        <v>1752</v>
      </c>
    </row>
    <row r="215" spans="6:6" x14ac:dyDescent="0.25">
      <c r="F215" s="1" t="s">
        <v>1902</v>
      </c>
    </row>
    <row r="216" spans="6:6" x14ac:dyDescent="0.25">
      <c r="F216" s="1" t="s">
        <v>2463</v>
      </c>
    </row>
    <row r="217" spans="6:6" x14ac:dyDescent="0.25">
      <c r="F217" s="1" t="s">
        <v>1153</v>
      </c>
    </row>
    <row r="218" spans="6:6" x14ac:dyDescent="0.25">
      <c r="F218" s="1" t="s">
        <v>993</v>
      </c>
    </row>
    <row r="219" spans="6:6" x14ac:dyDescent="0.25">
      <c r="F219" s="1" t="s">
        <v>1008</v>
      </c>
    </row>
    <row r="220" spans="6:6" x14ac:dyDescent="0.25">
      <c r="F220" s="1" t="s">
        <v>1009</v>
      </c>
    </row>
    <row r="221" spans="6:6" x14ac:dyDescent="0.25">
      <c r="F221" s="1" t="s">
        <v>1111</v>
      </c>
    </row>
    <row r="222" spans="6:6" x14ac:dyDescent="0.25">
      <c r="F222" s="1" t="s">
        <v>1020</v>
      </c>
    </row>
    <row r="223" spans="6:6" x14ac:dyDescent="0.25">
      <c r="F223" s="1" t="s">
        <v>1021</v>
      </c>
    </row>
    <row r="224" spans="6:6" x14ac:dyDescent="0.25">
      <c r="F224" s="1" t="s">
        <v>1022</v>
      </c>
    </row>
    <row r="225" spans="6:6" x14ac:dyDescent="0.25">
      <c r="F225" s="1" t="s">
        <v>1675</v>
      </c>
    </row>
    <row r="226" spans="6:6" x14ac:dyDescent="0.25">
      <c r="F226" s="1" t="s">
        <v>1026</v>
      </c>
    </row>
    <row r="227" spans="6:6" x14ac:dyDescent="0.25">
      <c r="F227" s="1" t="s">
        <v>1012</v>
      </c>
    </row>
    <row r="228" spans="6:6" x14ac:dyDescent="0.25">
      <c r="F228" s="1" t="s">
        <v>941</v>
      </c>
    </row>
    <row r="229" spans="6:6" x14ac:dyDescent="0.25">
      <c r="F229" s="1" t="s">
        <v>2659</v>
      </c>
    </row>
    <row r="230" spans="6:6" x14ac:dyDescent="0.25">
      <c r="F230" s="1" t="s">
        <v>2750</v>
      </c>
    </row>
    <row r="231" spans="6:6" x14ac:dyDescent="0.25">
      <c r="F231" s="1" t="s">
        <v>809</v>
      </c>
    </row>
    <row r="232" spans="6:6" x14ac:dyDescent="0.25">
      <c r="F232" s="1" t="s">
        <v>389</v>
      </c>
    </row>
    <row r="233" spans="6:6" x14ac:dyDescent="0.25">
      <c r="F233" s="1" t="s">
        <v>375</v>
      </c>
    </row>
    <row r="234" spans="6:6" x14ac:dyDescent="0.25">
      <c r="F234" s="1" t="s">
        <v>367</v>
      </c>
    </row>
    <row r="235" spans="6:6" x14ac:dyDescent="0.25">
      <c r="F235" s="1" t="s">
        <v>376</v>
      </c>
    </row>
    <row r="236" spans="6:6" x14ac:dyDescent="0.25">
      <c r="F236" s="1" t="s">
        <v>370</v>
      </c>
    </row>
    <row r="237" spans="6:6" x14ac:dyDescent="0.25">
      <c r="F237" s="1" t="s">
        <v>371</v>
      </c>
    </row>
    <row r="238" spans="6:6" x14ac:dyDescent="0.25">
      <c r="F238" s="1" t="s">
        <v>372</v>
      </c>
    </row>
    <row r="239" spans="6:6" x14ac:dyDescent="0.25">
      <c r="F239" s="1" t="s">
        <v>366</v>
      </c>
    </row>
    <row r="240" spans="6:6" x14ac:dyDescent="0.25">
      <c r="F240" s="1" t="s">
        <v>387</v>
      </c>
    </row>
    <row r="241" spans="6:6" x14ac:dyDescent="0.25">
      <c r="F241" s="1" t="s">
        <v>771</v>
      </c>
    </row>
    <row r="242" spans="6:6" x14ac:dyDescent="0.25">
      <c r="F242" s="1" t="s">
        <v>1814</v>
      </c>
    </row>
    <row r="243" spans="6:6" x14ac:dyDescent="0.25">
      <c r="F243" s="1" t="s">
        <v>1828</v>
      </c>
    </row>
    <row r="244" spans="6:6" x14ac:dyDescent="0.25">
      <c r="F244" s="1" t="s">
        <v>1697</v>
      </c>
    </row>
    <row r="245" spans="6:6" x14ac:dyDescent="0.25">
      <c r="F245" s="1" t="s">
        <v>1703</v>
      </c>
    </row>
    <row r="246" spans="6:6" x14ac:dyDescent="0.25">
      <c r="F246" s="1" t="s">
        <v>1704</v>
      </c>
    </row>
    <row r="247" spans="6:6" x14ac:dyDescent="0.25">
      <c r="F247" s="1" t="s">
        <v>1767</v>
      </c>
    </row>
    <row r="248" spans="6:6" x14ac:dyDescent="0.25">
      <c r="F248" s="1" t="s">
        <v>1705</v>
      </c>
    </row>
    <row r="249" spans="6:6" x14ac:dyDescent="0.25">
      <c r="F249" s="1" t="s">
        <v>1768</v>
      </c>
    </row>
    <row r="250" spans="6:6" x14ac:dyDescent="0.25">
      <c r="F250" s="1" t="s">
        <v>1698</v>
      </c>
    </row>
    <row r="251" spans="6:6" x14ac:dyDescent="0.25">
      <c r="F251" s="1" t="s">
        <v>2346</v>
      </c>
    </row>
    <row r="252" spans="6:6" x14ac:dyDescent="0.25">
      <c r="F252" s="1" t="s">
        <v>1699</v>
      </c>
    </row>
    <row r="253" spans="6:6" x14ac:dyDescent="0.25">
      <c r="F253" s="1" t="s">
        <v>1312</v>
      </c>
    </row>
    <row r="254" spans="6:6" x14ac:dyDescent="0.25">
      <c r="F254" s="1" t="s">
        <v>1363</v>
      </c>
    </row>
    <row r="255" spans="6:6" x14ac:dyDescent="0.25">
      <c r="F255" s="1" t="s">
        <v>1364</v>
      </c>
    </row>
    <row r="256" spans="6:6" x14ac:dyDescent="0.25">
      <c r="F256" s="1" t="s">
        <v>1793</v>
      </c>
    </row>
    <row r="257" spans="6:6" x14ac:dyDescent="0.25">
      <c r="F257" s="1" t="s">
        <v>1369</v>
      </c>
    </row>
    <row r="258" spans="6:6" x14ac:dyDescent="0.25">
      <c r="F258" s="1" t="s">
        <v>1821</v>
      </c>
    </row>
    <row r="259" spans="6:6" x14ac:dyDescent="0.25">
      <c r="F259" s="1" t="s">
        <v>1702</v>
      </c>
    </row>
    <row r="260" spans="6:6" x14ac:dyDescent="0.25">
      <c r="F260" s="1" t="s">
        <v>1755</v>
      </c>
    </row>
    <row r="261" spans="6:6" x14ac:dyDescent="0.25">
      <c r="F261" s="1" t="s">
        <v>1756</v>
      </c>
    </row>
    <row r="262" spans="6:6" x14ac:dyDescent="0.25">
      <c r="F262" s="1" t="s">
        <v>1765</v>
      </c>
    </row>
    <row r="263" spans="6:6" x14ac:dyDescent="0.25">
      <c r="F263" s="1" t="s">
        <v>1706</v>
      </c>
    </row>
    <row r="264" spans="6:6" x14ac:dyDescent="0.25">
      <c r="F264" s="1" t="s">
        <v>1876</v>
      </c>
    </row>
    <row r="265" spans="6:6" x14ac:dyDescent="0.25">
      <c r="F265" s="1" t="s">
        <v>1323</v>
      </c>
    </row>
    <row r="266" spans="6:6" x14ac:dyDescent="0.25">
      <c r="F266" s="1" t="s">
        <v>1700</v>
      </c>
    </row>
    <row r="267" spans="6:6" x14ac:dyDescent="0.25">
      <c r="F267" s="1" t="s">
        <v>1742</v>
      </c>
    </row>
    <row r="268" spans="6:6" x14ac:dyDescent="0.25">
      <c r="F268" s="1" t="s">
        <v>1692</v>
      </c>
    </row>
    <row r="269" spans="6:6" x14ac:dyDescent="0.25">
      <c r="F269" s="1" t="s">
        <v>1783</v>
      </c>
    </row>
    <row r="270" spans="6:6" x14ac:dyDescent="0.25">
      <c r="F270" s="1" t="s">
        <v>1743</v>
      </c>
    </row>
    <row r="271" spans="6:6" x14ac:dyDescent="0.25">
      <c r="F271" s="1" t="s">
        <v>1357</v>
      </c>
    </row>
    <row r="272" spans="6:6" x14ac:dyDescent="0.25">
      <c r="F272" s="1" t="s">
        <v>2379</v>
      </c>
    </row>
    <row r="273" spans="6:6" x14ac:dyDescent="0.25">
      <c r="F273" s="1" t="s">
        <v>2551</v>
      </c>
    </row>
    <row r="274" spans="6:6" x14ac:dyDescent="0.25">
      <c r="F274" s="1" t="s">
        <v>2540</v>
      </c>
    </row>
    <row r="275" spans="6:6" x14ac:dyDescent="0.25">
      <c r="F275" s="1" t="s">
        <v>2641</v>
      </c>
    </row>
    <row r="276" spans="6:6" x14ac:dyDescent="0.25">
      <c r="F276" s="1" t="s">
        <v>2483</v>
      </c>
    </row>
    <row r="277" spans="6:6" x14ac:dyDescent="0.25">
      <c r="F277" s="1" t="s">
        <v>924</v>
      </c>
    </row>
    <row r="278" spans="6:6" x14ac:dyDescent="0.25">
      <c r="F278" s="1" t="s">
        <v>2068</v>
      </c>
    </row>
    <row r="279" spans="6:6" x14ac:dyDescent="0.25">
      <c r="F279" s="1" t="s">
        <v>431</v>
      </c>
    </row>
    <row r="280" spans="6:6" x14ac:dyDescent="0.25">
      <c r="F280" s="1" t="s">
        <v>1308</v>
      </c>
    </row>
    <row r="281" spans="6:6" x14ac:dyDescent="0.25">
      <c r="F281" s="1" t="s">
        <v>1202</v>
      </c>
    </row>
    <row r="282" spans="6:6" x14ac:dyDescent="0.25">
      <c r="F282" s="1" t="s">
        <v>1210</v>
      </c>
    </row>
    <row r="283" spans="6:6" x14ac:dyDescent="0.25">
      <c r="F283" s="1" t="s">
        <v>2471</v>
      </c>
    </row>
    <row r="284" spans="6:6" x14ac:dyDescent="0.25">
      <c r="F284" s="1" t="s">
        <v>2485</v>
      </c>
    </row>
    <row r="285" spans="6:6" x14ac:dyDescent="0.25">
      <c r="F285" s="1" t="s">
        <v>1127</v>
      </c>
    </row>
    <row r="286" spans="6:6" x14ac:dyDescent="0.25">
      <c r="F286" s="1" t="s">
        <v>409</v>
      </c>
    </row>
    <row r="287" spans="6:6" x14ac:dyDescent="0.25">
      <c r="F287" s="1" t="s">
        <v>1854</v>
      </c>
    </row>
    <row r="288" spans="6:6" x14ac:dyDescent="0.25">
      <c r="F288" s="1" t="s">
        <v>2358</v>
      </c>
    </row>
    <row r="289" spans="6:6" x14ac:dyDescent="0.25">
      <c r="F289" s="1" t="s">
        <v>1840</v>
      </c>
    </row>
    <row r="290" spans="6:6" x14ac:dyDescent="0.25">
      <c r="F290" s="1" t="s">
        <v>2435</v>
      </c>
    </row>
    <row r="291" spans="6:6" x14ac:dyDescent="0.25">
      <c r="F291" s="1" t="s">
        <v>2361</v>
      </c>
    </row>
    <row r="292" spans="6:6" x14ac:dyDescent="0.25">
      <c r="F292" s="1" t="s">
        <v>2354</v>
      </c>
    </row>
    <row r="293" spans="6:6" x14ac:dyDescent="0.25">
      <c r="F293" s="1" t="s">
        <v>1680</v>
      </c>
    </row>
    <row r="294" spans="6:6" x14ac:dyDescent="0.25">
      <c r="F294" s="1" t="s">
        <v>2429</v>
      </c>
    </row>
    <row r="295" spans="6:6" x14ac:dyDescent="0.25">
      <c r="F295" s="1" t="s">
        <v>2369</v>
      </c>
    </row>
    <row r="296" spans="6:6" x14ac:dyDescent="0.25">
      <c r="F296" s="1" t="s">
        <v>2427</v>
      </c>
    </row>
    <row r="297" spans="6:6" x14ac:dyDescent="0.25">
      <c r="F297" s="1" t="s">
        <v>935</v>
      </c>
    </row>
    <row r="298" spans="6:6" x14ac:dyDescent="0.25">
      <c r="F298" s="1" t="s">
        <v>2010</v>
      </c>
    </row>
    <row r="299" spans="6:6" x14ac:dyDescent="0.25">
      <c r="F299" s="1" t="s">
        <v>1448</v>
      </c>
    </row>
    <row r="300" spans="6:6" x14ac:dyDescent="0.25">
      <c r="F300" s="1" t="s">
        <v>1497</v>
      </c>
    </row>
    <row r="301" spans="6:6" x14ac:dyDescent="0.25">
      <c r="F301" s="1" t="s">
        <v>1290</v>
      </c>
    </row>
    <row r="302" spans="6:6" x14ac:dyDescent="0.25">
      <c r="F302" s="1" t="s">
        <v>1867</v>
      </c>
    </row>
    <row r="303" spans="6:6" x14ac:dyDescent="0.25">
      <c r="F303" s="1" t="s">
        <v>1822</v>
      </c>
    </row>
    <row r="304" spans="6:6" x14ac:dyDescent="0.25">
      <c r="F304" s="1" t="s">
        <v>1784</v>
      </c>
    </row>
    <row r="305" spans="6:6" x14ac:dyDescent="0.25">
      <c r="F305" s="1" t="s">
        <v>1980</v>
      </c>
    </row>
    <row r="306" spans="6:6" x14ac:dyDescent="0.25">
      <c r="F306" s="1" t="s">
        <v>1877</v>
      </c>
    </row>
    <row r="307" spans="6:6" x14ac:dyDescent="0.25">
      <c r="F307" s="1" t="s">
        <v>2170</v>
      </c>
    </row>
    <row r="308" spans="6:6" x14ac:dyDescent="0.25">
      <c r="F308" s="1" t="s">
        <v>1820</v>
      </c>
    </row>
    <row r="309" spans="6:6" x14ac:dyDescent="0.25">
      <c r="F309" s="1" t="s">
        <v>2425</v>
      </c>
    </row>
    <row r="310" spans="6:6" x14ac:dyDescent="0.25">
      <c r="F310" s="1" t="s">
        <v>937</v>
      </c>
    </row>
    <row r="311" spans="6:6" x14ac:dyDescent="0.25">
      <c r="F311" s="1" t="s">
        <v>947</v>
      </c>
    </row>
    <row r="312" spans="6:6" x14ac:dyDescent="0.25">
      <c r="F312" s="1" t="s">
        <v>2840</v>
      </c>
    </row>
    <row r="313" spans="6:6" x14ac:dyDescent="0.25">
      <c r="F313" s="1" t="s">
        <v>2841</v>
      </c>
    </row>
    <row r="314" spans="6:6" x14ac:dyDescent="0.25">
      <c r="F314" s="1" t="s">
        <v>2234</v>
      </c>
    </row>
    <row r="315" spans="6:6" x14ac:dyDescent="0.25">
      <c r="F315" s="1" t="s">
        <v>821</v>
      </c>
    </row>
    <row r="316" spans="6:6" x14ac:dyDescent="0.25">
      <c r="F316" s="1" t="s">
        <v>595</v>
      </c>
    </row>
    <row r="317" spans="6:6" x14ac:dyDescent="0.25">
      <c r="F317" s="1" t="s">
        <v>596</v>
      </c>
    </row>
    <row r="318" spans="6:6" x14ac:dyDescent="0.25">
      <c r="F318" s="1" t="s">
        <v>597</v>
      </c>
    </row>
    <row r="319" spans="6:6" x14ac:dyDescent="0.25">
      <c r="F319" s="1" t="s">
        <v>874</v>
      </c>
    </row>
    <row r="320" spans="6:6" x14ac:dyDescent="0.25">
      <c r="F320" s="1" t="s">
        <v>2323</v>
      </c>
    </row>
    <row r="321" spans="6:6" x14ac:dyDescent="0.25">
      <c r="F321" s="1" t="s">
        <v>794</v>
      </c>
    </row>
    <row r="322" spans="6:6" x14ac:dyDescent="0.25">
      <c r="F322" s="1" t="s">
        <v>1468</v>
      </c>
    </row>
    <row r="323" spans="6:6" x14ac:dyDescent="0.25">
      <c r="F323" s="1" t="s">
        <v>813</v>
      </c>
    </row>
    <row r="324" spans="6:6" x14ac:dyDescent="0.25">
      <c r="F324" s="1" t="s">
        <v>1390</v>
      </c>
    </row>
    <row r="325" spans="6:6" x14ac:dyDescent="0.25">
      <c r="F325" s="1" t="s">
        <v>779</v>
      </c>
    </row>
    <row r="326" spans="6:6" x14ac:dyDescent="0.25">
      <c r="F326" s="1" t="s">
        <v>361</v>
      </c>
    </row>
    <row r="327" spans="6:6" x14ac:dyDescent="0.25">
      <c r="F327" s="1" t="s">
        <v>360</v>
      </c>
    </row>
    <row r="328" spans="6:6" x14ac:dyDescent="0.25">
      <c r="F328" s="1" t="s">
        <v>565</v>
      </c>
    </row>
    <row r="329" spans="6:6" x14ac:dyDescent="0.25">
      <c r="F329" s="1" t="s">
        <v>461</v>
      </c>
    </row>
    <row r="330" spans="6:6" x14ac:dyDescent="0.25">
      <c r="F330" s="1" t="s">
        <v>553</v>
      </c>
    </row>
    <row r="331" spans="6:6" x14ac:dyDescent="0.25">
      <c r="F331" s="1" t="s">
        <v>531</v>
      </c>
    </row>
    <row r="332" spans="6:6" x14ac:dyDescent="0.25">
      <c r="F332" s="1" t="s">
        <v>554</v>
      </c>
    </row>
    <row r="333" spans="6:6" x14ac:dyDescent="0.25">
      <c r="F333" s="1" t="s">
        <v>750</v>
      </c>
    </row>
    <row r="334" spans="6:6" x14ac:dyDescent="0.25">
      <c r="F334" s="1" t="s">
        <v>748</v>
      </c>
    </row>
    <row r="335" spans="6:6" x14ac:dyDescent="0.25">
      <c r="F335" s="1" t="s">
        <v>1643</v>
      </c>
    </row>
    <row r="336" spans="6:6" x14ac:dyDescent="0.25">
      <c r="F336" s="1" t="s">
        <v>751</v>
      </c>
    </row>
    <row r="337" spans="6:6" x14ac:dyDescent="0.25">
      <c r="F337" s="1" t="s">
        <v>2303</v>
      </c>
    </row>
    <row r="338" spans="6:6" x14ac:dyDescent="0.25">
      <c r="F338" s="1" t="s">
        <v>673</v>
      </c>
    </row>
    <row r="339" spans="6:6" x14ac:dyDescent="0.25">
      <c r="F339" s="1" t="s">
        <v>672</v>
      </c>
    </row>
    <row r="340" spans="6:6" x14ac:dyDescent="0.25">
      <c r="F340" s="1" t="s">
        <v>507</v>
      </c>
    </row>
    <row r="341" spans="6:6" x14ac:dyDescent="0.25">
      <c r="F341" s="1" t="s">
        <v>499</v>
      </c>
    </row>
    <row r="342" spans="6:6" x14ac:dyDescent="0.25">
      <c r="F342" s="1" t="s">
        <v>552</v>
      </c>
    </row>
    <row r="343" spans="6:6" x14ac:dyDescent="0.25">
      <c r="F343" s="1" t="s">
        <v>529</v>
      </c>
    </row>
    <row r="344" spans="6:6" x14ac:dyDescent="0.25">
      <c r="F344" s="1" t="s">
        <v>555</v>
      </c>
    </row>
    <row r="345" spans="6:6" x14ac:dyDescent="0.25">
      <c r="F345" s="1" t="s">
        <v>556</v>
      </c>
    </row>
    <row r="346" spans="6:6" x14ac:dyDescent="0.25">
      <c r="F346" s="1" t="s">
        <v>557</v>
      </c>
    </row>
    <row r="347" spans="6:6" x14ac:dyDescent="0.25">
      <c r="F347" s="1" t="s">
        <v>733</v>
      </c>
    </row>
    <row r="348" spans="6:6" x14ac:dyDescent="0.25">
      <c r="F348" s="1" t="s">
        <v>530</v>
      </c>
    </row>
    <row r="349" spans="6:6" x14ac:dyDescent="0.25">
      <c r="F349" s="1" t="s">
        <v>558</v>
      </c>
    </row>
    <row r="350" spans="6:6" x14ac:dyDescent="0.25">
      <c r="F350" s="1" t="s">
        <v>2222</v>
      </c>
    </row>
    <row r="351" spans="6:6" x14ac:dyDescent="0.25">
      <c r="F351" s="1" t="s">
        <v>2650</v>
      </c>
    </row>
    <row r="352" spans="6:6" x14ac:dyDescent="0.25">
      <c r="F352" s="1" t="s">
        <v>484</v>
      </c>
    </row>
    <row r="353" spans="6:6" x14ac:dyDescent="0.25">
      <c r="F353" s="1" t="s">
        <v>482</v>
      </c>
    </row>
    <row r="354" spans="6:6" x14ac:dyDescent="0.25">
      <c r="F354" s="1" t="s">
        <v>480</v>
      </c>
    </row>
    <row r="355" spans="6:6" x14ac:dyDescent="0.25">
      <c r="F355" s="1" t="s">
        <v>475</v>
      </c>
    </row>
    <row r="356" spans="6:6" x14ac:dyDescent="0.25">
      <c r="F356" s="1" t="s">
        <v>2386</v>
      </c>
    </row>
    <row r="357" spans="6:6" x14ac:dyDescent="0.25">
      <c r="F357" s="1" t="s">
        <v>628</v>
      </c>
    </row>
    <row r="358" spans="6:6" x14ac:dyDescent="0.25">
      <c r="F358" s="1" t="s">
        <v>454</v>
      </c>
    </row>
    <row r="359" spans="6:6" x14ac:dyDescent="0.25">
      <c r="F359" s="1" t="s">
        <v>2062</v>
      </c>
    </row>
    <row r="360" spans="6:6" x14ac:dyDescent="0.25">
      <c r="F360" s="1" t="s">
        <v>457</v>
      </c>
    </row>
    <row r="361" spans="6:6" x14ac:dyDescent="0.25">
      <c r="F361" s="1" t="s">
        <v>1044</v>
      </c>
    </row>
    <row r="362" spans="6:6" x14ac:dyDescent="0.25">
      <c r="F362" s="1" t="s">
        <v>456</v>
      </c>
    </row>
    <row r="363" spans="6:6" x14ac:dyDescent="0.25">
      <c r="F363" s="1" t="s">
        <v>497</v>
      </c>
    </row>
    <row r="364" spans="6:6" x14ac:dyDescent="0.25">
      <c r="F364" s="1" t="s">
        <v>1534</v>
      </c>
    </row>
    <row r="365" spans="6:6" x14ac:dyDescent="0.25">
      <c r="F365" s="1" t="s">
        <v>2510</v>
      </c>
    </row>
    <row r="366" spans="6:6" x14ac:dyDescent="0.25">
      <c r="F366" s="1" t="s">
        <v>2788</v>
      </c>
    </row>
    <row r="367" spans="6:6" x14ac:dyDescent="0.25">
      <c r="F367" s="1" t="s">
        <v>1809</v>
      </c>
    </row>
    <row r="368" spans="6:6" x14ac:dyDescent="0.25">
      <c r="F368" s="1" t="s">
        <v>1023</v>
      </c>
    </row>
    <row r="369" spans="6:6" x14ac:dyDescent="0.25">
      <c r="F369" s="1" t="s">
        <v>2679</v>
      </c>
    </row>
    <row r="370" spans="6:6" x14ac:dyDescent="0.25">
      <c r="F370" s="1" t="s">
        <v>882</v>
      </c>
    </row>
    <row r="371" spans="6:6" x14ac:dyDescent="0.25">
      <c r="F371" s="1" t="s">
        <v>884</v>
      </c>
    </row>
    <row r="372" spans="6:6" x14ac:dyDescent="0.25">
      <c r="F372" s="1" t="s">
        <v>883</v>
      </c>
    </row>
    <row r="373" spans="6:6" x14ac:dyDescent="0.25">
      <c r="F373" s="1" t="s">
        <v>181</v>
      </c>
    </row>
    <row r="374" spans="6:6" x14ac:dyDescent="0.25">
      <c r="F374" s="1" t="s">
        <v>400</v>
      </c>
    </row>
    <row r="375" spans="6:6" x14ac:dyDescent="0.25">
      <c r="F375" s="1" t="s">
        <v>773</v>
      </c>
    </row>
    <row r="376" spans="6:6" x14ac:dyDescent="0.25">
      <c r="F376" s="1" t="s">
        <v>1625</v>
      </c>
    </row>
    <row r="377" spans="6:6" x14ac:dyDescent="0.25">
      <c r="F377" s="1" t="s">
        <v>768</v>
      </c>
    </row>
    <row r="378" spans="6:6" x14ac:dyDescent="0.25">
      <c r="F378" s="1" t="s">
        <v>398</v>
      </c>
    </row>
    <row r="379" spans="6:6" x14ac:dyDescent="0.25">
      <c r="F379" s="1" t="s">
        <v>812</v>
      </c>
    </row>
    <row r="380" spans="6:6" x14ac:dyDescent="0.25">
      <c r="F380" s="1" t="s">
        <v>2215</v>
      </c>
    </row>
    <row r="381" spans="6:6" x14ac:dyDescent="0.25">
      <c r="F381" s="1" t="s">
        <v>2405</v>
      </c>
    </row>
    <row r="382" spans="6:6" x14ac:dyDescent="0.25">
      <c r="F382" s="1" t="s">
        <v>2406</v>
      </c>
    </row>
    <row r="383" spans="6:6" x14ac:dyDescent="0.25">
      <c r="F383" s="1" t="s">
        <v>2042</v>
      </c>
    </row>
    <row r="384" spans="6:6" x14ac:dyDescent="0.25">
      <c r="F384" s="1" t="s">
        <v>2212</v>
      </c>
    </row>
    <row r="385" spans="6:6" x14ac:dyDescent="0.25">
      <c r="F385" s="1" t="s">
        <v>2001</v>
      </c>
    </row>
    <row r="386" spans="6:6" x14ac:dyDescent="0.25">
      <c r="F386" s="1" t="s">
        <v>2020</v>
      </c>
    </row>
    <row r="387" spans="6:6" x14ac:dyDescent="0.25">
      <c r="F387" s="1" t="s">
        <v>2043</v>
      </c>
    </row>
    <row r="388" spans="6:6" x14ac:dyDescent="0.25">
      <c r="F388" s="1" t="s">
        <v>31</v>
      </c>
    </row>
    <row r="389" spans="6:6" x14ac:dyDescent="0.25">
      <c r="F389" s="1" t="s">
        <v>500</v>
      </c>
    </row>
    <row r="390" spans="6:6" x14ac:dyDescent="0.25">
      <c r="F390" s="1" t="s">
        <v>145</v>
      </c>
    </row>
    <row r="391" spans="6:6" x14ac:dyDescent="0.25">
      <c r="F391" s="1" t="s">
        <v>551</v>
      </c>
    </row>
    <row r="392" spans="6:6" x14ac:dyDescent="0.25">
      <c r="F392" s="1" t="s">
        <v>1645</v>
      </c>
    </row>
    <row r="393" spans="6:6" x14ac:dyDescent="0.25">
      <c r="F393" s="1" t="s">
        <v>1131</v>
      </c>
    </row>
    <row r="394" spans="6:6" x14ac:dyDescent="0.25">
      <c r="F394" s="1" t="s">
        <v>1128</v>
      </c>
    </row>
    <row r="395" spans="6:6" x14ac:dyDescent="0.25">
      <c r="F395" s="1" t="s">
        <v>1129</v>
      </c>
    </row>
    <row r="396" spans="6:6" x14ac:dyDescent="0.25">
      <c r="F396" s="1" t="s">
        <v>755</v>
      </c>
    </row>
    <row r="397" spans="6:6" x14ac:dyDescent="0.25">
      <c r="F397" s="1" t="s">
        <v>1130</v>
      </c>
    </row>
    <row r="398" spans="6:6" x14ac:dyDescent="0.25">
      <c r="F398" s="1" t="s">
        <v>736</v>
      </c>
    </row>
    <row r="399" spans="6:6" x14ac:dyDescent="0.25">
      <c r="F399" s="1" t="s">
        <v>1644</v>
      </c>
    </row>
    <row r="400" spans="6:6" x14ac:dyDescent="0.25">
      <c r="F400" s="1" t="s">
        <v>1143</v>
      </c>
    </row>
    <row r="401" spans="6:6" x14ac:dyDescent="0.25">
      <c r="F401" s="1" t="s">
        <v>1144</v>
      </c>
    </row>
    <row r="402" spans="6:6" x14ac:dyDescent="0.25">
      <c r="F402" s="1" t="s">
        <v>1145</v>
      </c>
    </row>
    <row r="403" spans="6:6" x14ac:dyDescent="0.25">
      <c r="F403" s="1" t="s">
        <v>576</v>
      </c>
    </row>
    <row r="404" spans="6:6" x14ac:dyDescent="0.25">
      <c r="F404" s="1" t="s">
        <v>739</v>
      </c>
    </row>
    <row r="405" spans="6:6" x14ac:dyDescent="0.25">
      <c r="F405" s="1" t="s">
        <v>535</v>
      </c>
    </row>
    <row r="406" spans="6:6" x14ac:dyDescent="0.25">
      <c r="F406" s="1" t="s">
        <v>536</v>
      </c>
    </row>
    <row r="407" spans="6:6" x14ac:dyDescent="0.25">
      <c r="F407" s="1" t="s">
        <v>1132</v>
      </c>
    </row>
    <row r="408" spans="6:6" x14ac:dyDescent="0.25">
      <c r="F408" s="1" t="s">
        <v>1133</v>
      </c>
    </row>
    <row r="409" spans="6:6" x14ac:dyDescent="0.25">
      <c r="F409" s="1" t="s">
        <v>1134</v>
      </c>
    </row>
    <row r="410" spans="6:6" x14ac:dyDescent="0.25">
      <c r="F410" s="1" t="s">
        <v>1135</v>
      </c>
    </row>
    <row r="411" spans="6:6" x14ac:dyDescent="0.25">
      <c r="F411" s="1" t="s">
        <v>1136</v>
      </c>
    </row>
    <row r="412" spans="6:6" x14ac:dyDescent="0.25">
      <c r="F412" s="1" t="s">
        <v>756</v>
      </c>
    </row>
    <row r="413" spans="6:6" x14ac:dyDescent="0.25">
      <c r="F413" s="1" t="s">
        <v>1137</v>
      </c>
    </row>
    <row r="414" spans="6:6" x14ac:dyDescent="0.25">
      <c r="F414" s="1" t="s">
        <v>1138</v>
      </c>
    </row>
    <row r="415" spans="6:6" x14ac:dyDescent="0.25">
      <c r="F415" s="1" t="s">
        <v>737</v>
      </c>
    </row>
    <row r="416" spans="6:6" x14ac:dyDescent="0.25">
      <c r="F416" s="1" t="s">
        <v>1139</v>
      </c>
    </row>
    <row r="417" spans="6:6" x14ac:dyDescent="0.25">
      <c r="F417" s="1" t="s">
        <v>1140</v>
      </c>
    </row>
    <row r="418" spans="6:6" x14ac:dyDescent="0.25">
      <c r="F418" s="1" t="s">
        <v>738</v>
      </c>
    </row>
    <row r="419" spans="6:6" x14ac:dyDescent="0.25">
      <c r="F419" s="1" t="s">
        <v>1142</v>
      </c>
    </row>
    <row r="420" spans="6:6" x14ac:dyDescent="0.25">
      <c r="F420" s="1" t="s">
        <v>1141</v>
      </c>
    </row>
    <row r="421" spans="6:6" x14ac:dyDescent="0.25">
      <c r="F421" s="1" t="s">
        <v>2291</v>
      </c>
    </row>
    <row r="422" spans="6:6" x14ac:dyDescent="0.25">
      <c r="F422" s="1" t="s">
        <v>622</v>
      </c>
    </row>
    <row r="423" spans="6:6" x14ac:dyDescent="0.25">
      <c r="F423" s="1" t="s">
        <v>561</v>
      </c>
    </row>
    <row r="424" spans="6:6" x14ac:dyDescent="0.25">
      <c r="F424" s="1" t="s">
        <v>625</v>
      </c>
    </row>
    <row r="425" spans="6:6" x14ac:dyDescent="0.25">
      <c r="F425" s="1" t="s">
        <v>626</v>
      </c>
    </row>
    <row r="426" spans="6:6" x14ac:dyDescent="0.25">
      <c r="F426" s="1" t="s">
        <v>623</v>
      </c>
    </row>
    <row r="427" spans="6:6" x14ac:dyDescent="0.25">
      <c r="F427" s="1" t="s">
        <v>624</v>
      </c>
    </row>
    <row r="428" spans="6:6" x14ac:dyDescent="0.25">
      <c r="F428" s="1" t="s">
        <v>670</v>
      </c>
    </row>
    <row r="429" spans="6:6" x14ac:dyDescent="0.25">
      <c r="F429" s="1" t="s">
        <v>671</v>
      </c>
    </row>
    <row r="430" spans="6:6" x14ac:dyDescent="0.25">
      <c r="F430" s="1" t="s">
        <v>508</v>
      </c>
    </row>
    <row r="431" spans="6:6" x14ac:dyDescent="0.25">
      <c r="F431" s="1" t="s">
        <v>562</v>
      </c>
    </row>
    <row r="432" spans="6:6" x14ac:dyDescent="0.25">
      <c r="F432" s="1" t="s">
        <v>575</v>
      </c>
    </row>
    <row r="433" spans="6:6" x14ac:dyDescent="0.25">
      <c r="F433" s="1" t="s">
        <v>534</v>
      </c>
    </row>
    <row r="434" spans="6:6" x14ac:dyDescent="0.25">
      <c r="F434" s="1" t="s">
        <v>533</v>
      </c>
    </row>
    <row r="435" spans="6:6" x14ac:dyDescent="0.25">
      <c r="F435" s="1" t="s">
        <v>462</v>
      </c>
    </row>
    <row r="436" spans="6:6" x14ac:dyDescent="0.25">
      <c r="F436" s="1" t="s">
        <v>1633</v>
      </c>
    </row>
    <row r="437" spans="6:6" x14ac:dyDescent="0.25">
      <c r="F437" s="1" t="s">
        <v>1279</v>
      </c>
    </row>
    <row r="438" spans="6:6" x14ac:dyDescent="0.25">
      <c r="F438" s="1" t="s">
        <v>2618</v>
      </c>
    </row>
    <row r="439" spans="6:6" x14ac:dyDescent="0.25">
      <c r="F439" s="1" t="s">
        <v>2529</v>
      </c>
    </row>
    <row r="440" spans="6:6" x14ac:dyDescent="0.25">
      <c r="F440" s="1" t="s">
        <v>2661</v>
      </c>
    </row>
    <row r="441" spans="6:6" x14ac:dyDescent="0.25">
      <c r="F441" s="1" t="s">
        <v>2613</v>
      </c>
    </row>
    <row r="442" spans="6:6" x14ac:dyDescent="0.25">
      <c r="F442" s="1" t="s">
        <v>2599</v>
      </c>
    </row>
    <row r="443" spans="6:6" x14ac:dyDescent="0.25">
      <c r="F443" s="1" t="s">
        <v>2686</v>
      </c>
    </row>
    <row r="444" spans="6:6" x14ac:dyDescent="0.25">
      <c r="F444" s="1" t="s">
        <v>1862</v>
      </c>
    </row>
    <row r="445" spans="6:6" x14ac:dyDescent="0.25">
      <c r="F445" s="1" t="s">
        <v>401</v>
      </c>
    </row>
    <row r="446" spans="6:6" x14ac:dyDescent="0.25">
      <c r="F446" s="1" t="s">
        <v>414</v>
      </c>
    </row>
    <row r="447" spans="6:6" x14ac:dyDescent="0.25">
      <c r="F447" s="1" t="s">
        <v>485</v>
      </c>
    </row>
    <row r="448" spans="6:6" x14ac:dyDescent="0.25">
      <c r="F448" s="1" t="s">
        <v>406</v>
      </c>
    </row>
    <row r="449" spans="6:6" x14ac:dyDescent="0.25">
      <c r="F449" s="1" t="s">
        <v>427</v>
      </c>
    </row>
    <row r="450" spans="6:6" x14ac:dyDescent="0.25">
      <c r="F450" s="1" t="s">
        <v>667</v>
      </c>
    </row>
    <row r="451" spans="6:6" x14ac:dyDescent="0.25">
      <c r="F451" s="1" t="s">
        <v>668</v>
      </c>
    </row>
    <row r="452" spans="6:6" x14ac:dyDescent="0.25">
      <c r="F452" s="1" t="s">
        <v>669</v>
      </c>
    </row>
    <row r="453" spans="6:6" x14ac:dyDescent="0.25">
      <c r="F453" s="1" t="s">
        <v>407</v>
      </c>
    </row>
    <row r="454" spans="6:6" x14ac:dyDescent="0.25">
      <c r="F454" s="1" t="s">
        <v>23</v>
      </c>
    </row>
    <row r="455" spans="6:6" x14ac:dyDescent="0.25">
      <c r="F455" s="1" t="s">
        <v>481</v>
      </c>
    </row>
    <row r="456" spans="6:6" x14ac:dyDescent="0.25">
      <c r="F456" s="1" t="s">
        <v>591</v>
      </c>
    </row>
    <row r="457" spans="6:6" x14ac:dyDescent="0.25">
      <c r="F457" s="1" t="s">
        <v>617</v>
      </c>
    </row>
    <row r="458" spans="6:6" x14ac:dyDescent="0.25">
      <c r="F458" s="1" t="s">
        <v>618</v>
      </c>
    </row>
    <row r="459" spans="6:6" x14ac:dyDescent="0.25">
      <c r="F459" s="1" t="s">
        <v>1045</v>
      </c>
    </row>
    <row r="460" spans="6:6" x14ac:dyDescent="0.25">
      <c r="F460" s="1" t="s">
        <v>477</v>
      </c>
    </row>
    <row r="461" spans="6:6" x14ac:dyDescent="0.25">
      <c r="F461" s="1" t="s">
        <v>1571</v>
      </c>
    </row>
    <row r="462" spans="6:6" x14ac:dyDescent="0.25">
      <c r="F462" s="1" t="s">
        <v>991</v>
      </c>
    </row>
    <row r="463" spans="6:6" x14ac:dyDescent="0.25">
      <c r="F463" s="1" t="s">
        <v>483</v>
      </c>
    </row>
    <row r="464" spans="6:6" x14ac:dyDescent="0.25">
      <c r="F464" s="1" t="s">
        <v>563</v>
      </c>
    </row>
    <row r="465" spans="6:6" x14ac:dyDescent="0.25">
      <c r="F465" s="1" t="s">
        <v>486</v>
      </c>
    </row>
    <row r="466" spans="6:6" x14ac:dyDescent="0.25">
      <c r="F466" s="1" t="s">
        <v>437</v>
      </c>
    </row>
    <row r="467" spans="6:6" x14ac:dyDescent="0.25">
      <c r="F467" s="1" t="s">
        <v>540</v>
      </c>
    </row>
    <row r="468" spans="6:6" x14ac:dyDescent="0.25">
      <c r="F468" s="1" t="s">
        <v>740</v>
      </c>
    </row>
    <row r="469" spans="6:6" x14ac:dyDescent="0.25">
      <c r="F469" s="1" t="s">
        <v>2560</v>
      </c>
    </row>
    <row r="470" spans="6:6" x14ac:dyDescent="0.25">
      <c r="F470" s="1" t="s">
        <v>2533</v>
      </c>
    </row>
    <row r="471" spans="6:6" x14ac:dyDescent="0.25">
      <c r="F471" s="1" t="s">
        <v>2568</v>
      </c>
    </row>
    <row r="472" spans="6:6" x14ac:dyDescent="0.25">
      <c r="F472" s="1" t="s">
        <v>2516</v>
      </c>
    </row>
    <row r="473" spans="6:6" x14ac:dyDescent="0.25">
      <c r="F473" s="1" t="s">
        <v>2545</v>
      </c>
    </row>
    <row r="474" spans="6:6" x14ac:dyDescent="0.25">
      <c r="F474" s="1" t="s">
        <v>2486</v>
      </c>
    </row>
    <row r="475" spans="6:6" x14ac:dyDescent="0.25">
      <c r="F475" s="1" t="s">
        <v>2007</v>
      </c>
    </row>
    <row r="476" spans="6:6" x14ac:dyDescent="0.25">
      <c r="F476" s="1" t="s">
        <v>2006</v>
      </c>
    </row>
    <row r="477" spans="6:6" x14ac:dyDescent="0.25">
      <c r="F477" s="1" t="s">
        <v>2012</v>
      </c>
    </row>
    <row r="478" spans="6:6" x14ac:dyDescent="0.25">
      <c r="F478" s="1" t="s">
        <v>1959</v>
      </c>
    </row>
    <row r="479" spans="6:6" x14ac:dyDescent="0.25">
      <c r="F479" s="1" t="s">
        <v>498</v>
      </c>
    </row>
    <row r="480" spans="6:6" x14ac:dyDescent="0.25">
      <c r="F480" s="1" t="s">
        <v>383</v>
      </c>
    </row>
    <row r="481" spans="6:6" x14ac:dyDescent="0.25">
      <c r="F481" s="1" t="s">
        <v>113</v>
      </c>
    </row>
    <row r="482" spans="6:6" x14ac:dyDescent="0.25">
      <c r="F482" s="1" t="s">
        <v>114</v>
      </c>
    </row>
    <row r="483" spans="6:6" x14ac:dyDescent="0.25">
      <c r="F483" s="1" t="s">
        <v>115</v>
      </c>
    </row>
    <row r="484" spans="6:6" x14ac:dyDescent="0.25">
      <c r="F484" s="1" t="s">
        <v>116</v>
      </c>
    </row>
    <row r="485" spans="6:6" x14ac:dyDescent="0.25">
      <c r="F485" s="1" t="s">
        <v>117</v>
      </c>
    </row>
    <row r="486" spans="6:6" x14ac:dyDescent="0.25">
      <c r="F486" s="1" t="s">
        <v>2443</v>
      </c>
    </row>
    <row r="487" spans="6:6" x14ac:dyDescent="0.25">
      <c r="F487" s="1" t="s">
        <v>1891</v>
      </c>
    </row>
    <row r="488" spans="6:6" x14ac:dyDescent="0.25">
      <c r="F488" s="1" t="s">
        <v>1922</v>
      </c>
    </row>
    <row r="489" spans="6:6" x14ac:dyDescent="0.25">
      <c r="F489" s="1" t="s">
        <v>2135</v>
      </c>
    </row>
    <row r="490" spans="6:6" x14ac:dyDescent="0.25">
      <c r="F490" s="1" t="s">
        <v>479</v>
      </c>
    </row>
    <row r="491" spans="6:6" x14ac:dyDescent="0.25">
      <c r="F491" s="1" t="s">
        <v>2488</v>
      </c>
    </row>
    <row r="492" spans="6:6" x14ac:dyDescent="0.25">
      <c r="F492" s="1" t="s">
        <v>2489</v>
      </c>
    </row>
    <row r="493" spans="6:6" x14ac:dyDescent="0.25">
      <c r="F493" s="1" t="s">
        <v>43</v>
      </c>
    </row>
    <row r="494" spans="6:6" x14ac:dyDescent="0.25">
      <c r="F494" s="1" t="s">
        <v>44</v>
      </c>
    </row>
    <row r="495" spans="6:6" x14ac:dyDescent="0.25">
      <c r="F495" s="1" t="s">
        <v>2662</v>
      </c>
    </row>
    <row r="496" spans="6:6" x14ac:dyDescent="0.25">
      <c r="F496" s="1" t="s">
        <v>2537</v>
      </c>
    </row>
    <row r="497" spans="6:6" x14ac:dyDescent="0.25">
      <c r="F497" s="1" t="s">
        <v>2664</v>
      </c>
    </row>
    <row r="498" spans="6:6" x14ac:dyDescent="0.25">
      <c r="F498" s="1" t="s">
        <v>38</v>
      </c>
    </row>
    <row r="499" spans="6:6" x14ac:dyDescent="0.25">
      <c r="F499" s="1" t="s">
        <v>36</v>
      </c>
    </row>
    <row r="500" spans="6:6" x14ac:dyDescent="0.25">
      <c r="F500" s="1" t="s">
        <v>119</v>
      </c>
    </row>
    <row r="501" spans="6:6" x14ac:dyDescent="0.25">
      <c r="F501" s="1" t="s">
        <v>118</v>
      </c>
    </row>
    <row r="502" spans="6:6" x14ac:dyDescent="0.25">
      <c r="F502" s="1" t="s">
        <v>333</v>
      </c>
    </row>
    <row r="503" spans="6:6" x14ac:dyDescent="0.25">
      <c r="F503" s="1" t="s">
        <v>305</v>
      </c>
    </row>
    <row r="504" spans="6:6" x14ac:dyDescent="0.25">
      <c r="F504" s="1" t="s">
        <v>306</v>
      </c>
    </row>
    <row r="505" spans="6:6" x14ac:dyDescent="0.25">
      <c r="F505" s="1" t="s">
        <v>307</v>
      </c>
    </row>
    <row r="506" spans="6:6" x14ac:dyDescent="0.25">
      <c r="F506" s="1" t="s">
        <v>690</v>
      </c>
    </row>
    <row r="507" spans="6:6" x14ac:dyDescent="0.25">
      <c r="F507" s="1" t="s">
        <v>308</v>
      </c>
    </row>
    <row r="508" spans="6:6" x14ac:dyDescent="0.25">
      <c r="F508" s="1" t="s">
        <v>309</v>
      </c>
    </row>
    <row r="509" spans="6:6" x14ac:dyDescent="0.25">
      <c r="F509" s="1" t="s">
        <v>310</v>
      </c>
    </row>
    <row r="510" spans="6:6" x14ac:dyDescent="0.25">
      <c r="F510" s="1" t="s">
        <v>311</v>
      </c>
    </row>
    <row r="511" spans="6:6" x14ac:dyDescent="0.25">
      <c r="F511" s="1" t="s">
        <v>312</v>
      </c>
    </row>
    <row r="512" spans="6:6" x14ac:dyDescent="0.25">
      <c r="F512" s="1" t="s">
        <v>313</v>
      </c>
    </row>
    <row r="513" spans="6:6" x14ac:dyDescent="0.25">
      <c r="F513" s="1" t="s">
        <v>344</v>
      </c>
    </row>
    <row r="514" spans="6:6" x14ac:dyDescent="0.25">
      <c r="F514" s="1" t="s">
        <v>374</v>
      </c>
    </row>
    <row r="515" spans="6:6" x14ac:dyDescent="0.25">
      <c r="F515" s="1" t="s">
        <v>314</v>
      </c>
    </row>
    <row r="516" spans="6:6" x14ac:dyDescent="0.25">
      <c r="F516" s="1" t="s">
        <v>315</v>
      </c>
    </row>
    <row r="517" spans="6:6" x14ac:dyDescent="0.25">
      <c r="F517" s="1" t="s">
        <v>341</v>
      </c>
    </row>
    <row r="518" spans="6:6" x14ac:dyDescent="0.25">
      <c r="F518" s="1" t="s">
        <v>316</v>
      </c>
    </row>
    <row r="519" spans="6:6" x14ac:dyDescent="0.25">
      <c r="F519" s="1" t="s">
        <v>317</v>
      </c>
    </row>
    <row r="520" spans="6:6" x14ac:dyDescent="0.25">
      <c r="F520" s="1" t="s">
        <v>318</v>
      </c>
    </row>
    <row r="521" spans="6:6" x14ac:dyDescent="0.25">
      <c r="F521" s="1" t="s">
        <v>352</v>
      </c>
    </row>
    <row r="522" spans="6:6" x14ac:dyDescent="0.25">
      <c r="F522" s="1" t="s">
        <v>2385</v>
      </c>
    </row>
    <row r="523" spans="6:6" x14ac:dyDescent="0.25">
      <c r="F523" s="1" t="s">
        <v>2771</v>
      </c>
    </row>
    <row r="524" spans="6:6" x14ac:dyDescent="0.25">
      <c r="F524" s="1" t="s">
        <v>2773</v>
      </c>
    </row>
    <row r="525" spans="6:6" x14ac:dyDescent="0.25">
      <c r="F525" s="1" t="s">
        <v>120</v>
      </c>
    </row>
    <row r="526" spans="6:6" x14ac:dyDescent="0.25">
      <c r="F526" s="1" t="s">
        <v>2620</v>
      </c>
    </row>
    <row r="527" spans="6:6" x14ac:dyDescent="0.25">
      <c r="F527" s="1" t="s">
        <v>2709</v>
      </c>
    </row>
    <row r="528" spans="6:6" x14ac:dyDescent="0.25">
      <c r="F528" s="1" t="s">
        <v>2656</v>
      </c>
    </row>
    <row r="529" spans="6:6" x14ac:dyDescent="0.25">
      <c r="F529" s="1" t="s">
        <v>2491</v>
      </c>
    </row>
    <row r="530" spans="6:6" x14ac:dyDescent="0.25">
      <c r="F530" s="1" t="s">
        <v>2598</v>
      </c>
    </row>
    <row r="531" spans="6:6" x14ac:dyDescent="0.25">
      <c r="F531" s="1" t="s">
        <v>2774</v>
      </c>
    </row>
    <row r="532" spans="6:6" x14ac:dyDescent="0.25">
      <c r="F532" s="1" t="s">
        <v>2710</v>
      </c>
    </row>
    <row r="533" spans="6:6" x14ac:dyDescent="0.25">
      <c r="F533" s="1" t="s">
        <v>2722</v>
      </c>
    </row>
    <row r="534" spans="6:6" x14ac:dyDescent="0.25">
      <c r="F534" s="1" t="s">
        <v>2609</v>
      </c>
    </row>
    <row r="535" spans="6:6" x14ac:dyDescent="0.25">
      <c r="F535" s="1" t="s">
        <v>121</v>
      </c>
    </row>
    <row r="536" spans="6:6" x14ac:dyDescent="0.25">
      <c r="F536" s="1" t="s">
        <v>2700</v>
      </c>
    </row>
    <row r="537" spans="6:6" x14ac:dyDescent="0.25">
      <c r="F537" s="1" t="s">
        <v>2595</v>
      </c>
    </row>
    <row r="538" spans="6:6" x14ac:dyDescent="0.25">
      <c r="F538" s="1" t="s">
        <v>122</v>
      </c>
    </row>
    <row r="539" spans="6:6" x14ac:dyDescent="0.25">
      <c r="F539" s="1" t="s">
        <v>2735</v>
      </c>
    </row>
    <row r="540" spans="6:6" x14ac:dyDescent="0.25">
      <c r="F540" s="1" t="s">
        <v>2494</v>
      </c>
    </row>
    <row r="541" spans="6:6" x14ac:dyDescent="0.25">
      <c r="F541" s="1" t="s">
        <v>2495</v>
      </c>
    </row>
    <row r="542" spans="6:6" x14ac:dyDescent="0.25">
      <c r="F542" s="1" t="s">
        <v>124</v>
      </c>
    </row>
    <row r="543" spans="6:6" x14ac:dyDescent="0.25">
      <c r="F543" s="1" t="s">
        <v>2711</v>
      </c>
    </row>
    <row r="544" spans="6:6" x14ac:dyDescent="0.25">
      <c r="F544" s="1" t="s">
        <v>2692</v>
      </c>
    </row>
    <row r="545" spans="6:6" x14ac:dyDescent="0.25">
      <c r="F545" s="1" t="s">
        <v>2622</v>
      </c>
    </row>
    <row r="546" spans="6:6" x14ac:dyDescent="0.25">
      <c r="F546" s="1" t="s">
        <v>2691</v>
      </c>
    </row>
    <row r="547" spans="6:6" x14ac:dyDescent="0.25">
      <c r="F547" s="1" t="s">
        <v>125</v>
      </c>
    </row>
    <row r="548" spans="6:6" x14ac:dyDescent="0.25">
      <c r="F548" s="1" t="s">
        <v>126</v>
      </c>
    </row>
    <row r="549" spans="6:6" x14ac:dyDescent="0.25">
      <c r="F549" s="1" t="s">
        <v>1485</v>
      </c>
    </row>
    <row r="550" spans="6:6" x14ac:dyDescent="0.25">
      <c r="F550" s="1" t="s">
        <v>1696</v>
      </c>
    </row>
    <row r="551" spans="6:6" x14ac:dyDescent="0.25">
      <c r="F551" s="1" t="s">
        <v>1694</v>
      </c>
    </row>
    <row r="552" spans="6:6" x14ac:dyDescent="0.25">
      <c r="F552" s="1" t="s">
        <v>1682</v>
      </c>
    </row>
    <row r="553" spans="6:6" x14ac:dyDescent="0.25">
      <c r="F553" s="1" t="s">
        <v>1693</v>
      </c>
    </row>
    <row r="554" spans="6:6" x14ac:dyDescent="0.25">
      <c r="F554" s="1" t="s">
        <v>1687</v>
      </c>
    </row>
    <row r="555" spans="6:6" x14ac:dyDescent="0.25">
      <c r="F555" s="1" t="s">
        <v>1479</v>
      </c>
    </row>
    <row r="556" spans="6:6" x14ac:dyDescent="0.25">
      <c r="F556" s="1" t="s">
        <v>1628</v>
      </c>
    </row>
    <row r="557" spans="6:6" x14ac:dyDescent="0.25">
      <c r="F557" s="1" t="s">
        <v>127</v>
      </c>
    </row>
    <row r="558" spans="6:6" x14ac:dyDescent="0.25">
      <c r="F558" s="1" t="s">
        <v>2870</v>
      </c>
    </row>
    <row r="559" spans="6:6" x14ac:dyDescent="0.25">
      <c r="F559" s="1" t="s">
        <v>2872</v>
      </c>
    </row>
    <row r="560" spans="6:6" x14ac:dyDescent="0.25">
      <c r="F560" s="1" t="s">
        <v>2874</v>
      </c>
    </row>
    <row r="561" spans="6:6" x14ac:dyDescent="0.25">
      <c r="F561" s="1" t="s">
        <v>2876</v>
      </c>
    </row>
    <row r="562" spans="6:6" x14ac:dyDescent="0.25">
      <c r="F562" s="1" t="s">
        <v>2878</v>
      </c>
    </row>
    <row r="563" spans="6:6" x14ac:dyDescent="0.25">
      <c r="F563" s="1" t="s">
        <v>2879</v>
      </c>
    </row>
    <row r="564" spans="6:6" x14ac:dyDescent="0.25">
      <c r="F564" s="1" t="s">
        <v>2881</v>
      </c>
    </row>
    <row r="565" spans="6:6" x14ac:dyDescent="0.25">
      <c r="F565" s="1" t="s">
        <v>2882</v>
      </c>
    </row>
    <row r="566" spans="6:6" x14ac:dyDescent="0.25">
      <c r="F566" s="1" t="s">
        <v>2884</v>
      </c>
    </row>
    <row r="567" spans="6:6" x14ac:dyDescent="0.25">
      <c r="F567" s="1" t="s">
        <v>2886</v>
      </c>
    </row>
    <row r="568" spans="6:6" x14ac:dyDescent="0.25">
      <c r="F568" s="1" t="s">
        <v>2888</v>
      </c>
    </row>
    <row r="569" spans="6:6" x14ac:dyDescent="0.25">
      <c r="F569" s="1" t="s">
        <v>2889</v>
      </c>
    </row>
    <row r="570" spans="6:6" x14ac:dyDescent="0.25">
      <c r="F570" s="1" t="s">
        <v>2891</v>
      </c>
    </row>
    <row r="571" spans="6:6" x14ac:dyDescent="0.25">
      <c r="F571" s="1" t="s">
        <v>2893</v>
      </c>
    </row>
    <row r="572" spans="6:6" x14ac:dyDescent="0.25">
      <c r="F572" s="1" t="s">
        <v>2894</v>
      </c>
    </row>
    <row r="573" spans="6:6" x14ac:dyDescent="0.25">
      <c r="F573" s="1" t="s">
        <v>2896</v>
      </c>
    </row>
    <row r="574" spans="6:6" x14ac:dyDescent="0.25">
      <c r="F574" s="1" t="s">
        <v>2898</v>
      </c>
    </row>
    <row r="575" spans="6:6" x14ac:dyDescent="0.25">
      <c r="F575" s="1" t="s">
        <v>2899</v>
      </c>
    </row>
    <row r="576" spans="6:6" x14ac:dyDescent="0.25">
      <c r="F576" s="1" t="s">
        <v>2901</v>
      </c>
    </row>
    <row r="577" spans="6:6" x14ac:dyDescent="0.25">
      <c r="F577" s="1" t="s">
        <v>2903</v>
      </c>
    </row>
    <row r="578" spans="6:6" x14ac:dyDescent="0.25">
      <c r="F578" s="1" t="s">
        <v>2904</v>
      </c>
    </row>
    <row r="579" spans="6:6" x14ac:dyDescent="0.25">
      <c r="F579" s="1" t="s">
        <v>2906</v>
      </c>
    </row>
    <row r="580" spans="6:6" x14ac:dyDescent="0.25">
      <c r="F580" s="1" t="s">
        <v>2908</v>
      </c>
    </row>
    <row r="581" spans="6:6" x14ac:dyDescent="0.25">
      <c r="F581" s="1" t="s">
        <v>2910</v>
      </c>
    </row>
    <row r="582" spans="6:6" x14ac:dyDescent="0.25">
      <c r="F582" s="1" t="s">
        <v>2911</v>
      </c>
    </row>
    <row r="583" spans="6:6" x14ac:dyDescent="0.25">
      <c r="F583" s="1" t="s">
        <v>2864</v>
      </c>
    </row>
    <row r="584" spans="6:6" x14ac:dyDescent="0.25">
      <c r="F584" s="1" t="s">
        <v>2865</v>
      </c>
    </row>
    <row r="585" spans="6:6" x14ac:dyDescent="0.25">
      <c r="F585" s="1" t="s">
        <v>2866</v>
      </c>
    </row>
    <row r="586" spans="6:6" x14ac:dyDescent="0.25">
      <c r="F586" s="1" t="s">
        <v>2867</v>
      </c>
    </row>
    <row r="587" spans="6:6" x14ac:dyDescent="0.25">
      <c r="F587" s="1" t="s">
        <v>2868</v>
      </c>
    </row>
    <row r="588" spans="6:6" x14ac:dyDescent="0.25">
      <c r="F588" s="1" t="s">
        <v>2912</v>
      </c>
    </row>
    <row r="589" spans="6:6" x14ac:dyDescent="0.25">
      <c r="F589" s="1" t="s">
        <v>2869</v>
      </c>
    </row>
    <row r="590" spans="6:6" x14ac:dyDescent="0.25">
      <c r="F590" s="1" t="s">
        <v>2871</v>
      </c>
    </row>
    <row r="591" spans="6:6" x14ac:dyDescent="0.25">
      <c r="F591" s="1" t="s">
        <v>2873</v>
      </c>
    </row>
    <row r="592" spans="6:6" x14ac:dyDescent="0.25">
      <c r="F592" s="1" t="s">
        <v>2875</v>
      </c>
    </row>
    <row r="593" spans="6:6" x14ac:dyDescent="0.25">
      <c r="F593" s="1" t="s">
        <v>2877</v>
      </c>
    </row>
    <row r="594" spans="6:6" x14ac:dyDescent="0.25">
      <c r="F594" s="1" t="s">
        <v>2880</v>
      </c>
    </row>
    <row r="595" spans="6:6" x14ac:dyDescent="0.25">
      <c r="F595" s="1" t="s">
        <v>2883</v>
      </c>
    </row>
    <row r="596" spans="6:6" x14ac:dyDescent="0.25">
      <c r="F596" s="1" t="s">
        <v>2885</v>
      </c>
    </row>
    <row r="597" spans="6:6" x14ac:dyDescent="0.25">
      <c r="F597" s="1" t="s">
        <v>2887</v>
      </c>
    </row>
    <row r="598" spans="6:6" x14ac:dyDescent="0.25">
      <c r="F598" s="1" t="s">
        <v>2890</v>
      </c>
    </row>
    <row r="599" spans="6:6" x14ac:dyDescent="0.25">
      <c r="F599" s="1" t="s">
        <v>2892</v>
      </c>
    </row>
    <row r="600" spans="6:6" x14ac:dyDescent="0.25">
      <c r="F600" s="1" t="s">
        <v>2895</v>
      </c>
    </row>
    <row r="601" spans="6:6" x14ac:dyDescent="0.25">
      <c r="F601" s="1" t="s">
        <v>2897</v>
      </c>
    </row>
    <row r="602" spans="6:6" x14ac:dyDescent="0.25">
      <c r="F602" s="1" t="s">
        <v>2900</v>
      </c>
    </row>
    <row r="603" spans="6:6" x14ac:dyDescent="0.25">
      <c r="F603" s="1" t="s">
        <v>2902</v>
      </c>
    </row>
    <row r="604" spans="6:6" x14ac:dyDescent="0.25">
      <c r="F604" s="1" t="s">
        <v>2905</v>
      </c>
    </row>
    <row r="605" spans="6:6" x14ac:dyDescent="0.25">
      <c r="F605" s="1" t="s">
        <v>2907</v>
      </c>
    </row>
    <row r="606" spans="6:6" x14ac:dyDescent="0.25">
      <c r="F606" s="1" t="s">
        <v>2909</v>
      </c>
    </row>
    <row r="607" spans="6:6" x14ac:dyDescent="0.25">
      <c r="F607" s="1" t="s">
        <v>1634</v>
      </c>
    </row>
    <row r="608" spans="6:6" x14ac:dyDescent="0.25">
      <c r="F608" s="1" t="s">
        <v>128</v>
      </c>
    </row>
    <row r="609" spans="6:6" x14ac:dyDescent="0.25">
      <c r="F609" s="1" t="s">
        <v>129</v>
      </c>
    </row>
    <row r="610" spans="6:6" x14ac:dyDescent="0.25">
      <c r="F610" s="1" t="s">
        <v>130</v>
      </c>
    </row>
    <row r="611" spans="6:6" x14ac:dyDescent="0.25">
      <c r="F611" s="1" t="s">
        <v>131</v>
      </c>
    </row>
    <row r="612" spans="6:6" x14ac:dyDescent="0.25">
      <c r="F612" s="1" t="s">
        <v>132</v>
      </c>
    </row>
    <row r="613" spans="6:6" x14ac:dyDescent="0.25">
      <c r="F613" s="1" t="s">
        <v>133</v>
      </c>
    </row>
    <row r="614" spans="6:6" x14ac:dyDescent="0.25">
      <c r="F614" s="1" t="s">
        <v>134</v>
      </c>
    </row>
    <row r="615" spans="6:6" x14ac:dyDescent="0.25">
      <c r="F615" s="1" t="s">
        <v>135</v>
      </c>
    </row>
    <row r="616" spans="6:6" x14ac:dyDescent="0.25">
      <c r="F616" s="1" t="s">
        <v>136</v>
      </c>
    </row>
    <row r="617" spans="6:6" x14ac:dyDescent="0.25">
      <c r="F617" s="1" t="s">
        <v>1991</v>
      </c>
    </row>
    <row r="618" spans="6:6" x14ac:dyDescent="0.25">
      <c r="F618" s="1" t="s">
        <v>2028</v>
      </c>
    </row>
    <row r="619" spans="6:6" x14ac:dyDescent="0.25">
      <c r="F619" s="1" t="s">
        <v>1914</v>
      </c>
    </row>
    <row r="620" spans="6:6" x14ac:dyDescent="0.25">
      <c r="F620" s="1" t="s">
        <v>1775</v>
      </c>
    </row>
    <row r="621" spans="6:6" x14ac:dyDescent="0.25">
      <c r="F621" s="1" t="s">
        <v>1709</v>
      </c>
    </row>
    <row r="622" spans="6:6" x14ac:dyDescent="0.25">
      <c r="F622" s="1" t="s">
        <v>1764</v>
      </c>
    </row>
    <row r="623" spans="6:6" x14ac:dyDescent="0.25">
      <c r="F623" s="1" t="s">
        <v>1695</v>
      </c>
    </row>
    <row r="624" spans="6:6" x14ac:dyDescent="0.25">
      <c r="F624" s="1" t="s">
        <v>1759</v>
      </c>
    </row>
    <row r="625" spans="6:6" x14ac:dyDescent="0.25">
      <c r="F625" s="1" t="s">
        <v>2053</v>
      </c>
    </row>
    <row r="626" spans="6:6" x14ac:dyDescent="0.25">
      <c r="F626" s="1" t="s">
        <v>1688</v>
      </c>
    </row>
    <row r="627" spans="6:6" x14ac:dyDescent="0.25">
      <c r="F627" s="1" t="s">
        <v>1689</v>
      </c>
    </row>
    <row r="628" spans="6:6" x14ac:dyDescent="0.25">
      <c r="F628" s="1" t="s">
        <v>1690</v>
      </c>
    </row>
    <row r="629" spans="6:6" x14ac:dyDescent="0.25">
      <c r="F629" s="1" t="s">
        <v>1886</v>
      </c>
    </row>
    <row r="630" spans="6:6" x14ac:dyDescent="0.25">
      <c r="F630" s="1" t="s">
        <v>1189</v>
      </c>
    </row>
    <row r="631" spans="6:6" x14ac:dyDescent="0.25">
      <c r="F631" s="1" t="s">
        <v>1391</v>
      </c>
    </row>
    <row r="632" spans="6:6" x14ac:dyDescent="0.25">
      <c r="F632" s="1" t="s">
        <v>488</v>
      </c>
    </row>
    <row r="633" spans="6:6" x14ac:dyDescent="0.25">
      <c r="F633" s="1" t="s">
        <v>496</v>
      </c>
    </row>
    <row r="634" spans="6:6" x14ac:dyDescent="0.25">
      <c r="F634" s="1" t="s">
        <v>999</v>
      </c>
    </row>
    <row r="635" spans="6:6" x14ac:dyDescent="0.25">
      <c r="F635" s="1" t="s">
        <v>1710</v>
      </c>
    </row>
    <row r="636" spans="6:6" x14ac:dyDescent="0.25">
      <c r="F636" s="1" t="s">
        <v>1711</v>
      </c>
    </row>
    <row r="637" spans="6:6" x14ac:dyDescent="0.25">
      <c r="F637" s="1" t="s">
        <v>928</v>
      </c>
    </row>
    <row r="638" spans="6:6" x14ac:dyDescent="0.25">
      <c r="F638" s="1" t="s">
        <v>1121</v>
      </c>
    </row>
    <row r="639" spans="6:6" x14ac:dyDescent="0.25">
      <c r="F639" s="1" t="s">
        <v>2464</v>
      </c>
    </row>
    <row r="640" spans="6:6" x14ac:dyDescent="0.25">
      <c r="F640" s="1" t="s">
        <v>1642</v>
      </c>
    </row>
    <row r="641" spans="6:6" x14ac:dyDescent="0.25">
      <c r="F641" s="1" t="s">
        <v>1070</v>
      </c>
    </row>
    <row r="642" spans="6:6" x14ac:dyDescent="0.25">
      <c r="F642" s="1" t="s">
        <v>1646</v>
      </c>
    </row>
    <row r="643" spans="6:6" x14ac:dyDescent="0.25">
      <c r="F643" s="1" t="s">
        <v>1072</v>
      </c>
    </row>
    <row r="644" spans="6:6" x14ac:dyDescent="0.25">
      <c r="F644" s="1" t="s">
        <v>1073</v>
      </c>
    </row>
    <row r="645" spans="6:6" x14ac:dyDescent="0.25">
      <c r="F645" s="1" t="s">
        <v>1146</v>
      </c>
    </row>
    <row r="646" spans="6:6" x14ac:dyDescent="0.25">
      <c r="F646" s="1" t="s">
        <v>992</v>
      </c>
    </row>
    <row r="647" spans="6:6" x14ac:dyDescent="0.25">
      <c r="F647" s="1" t="s">
        <v>1071</v>
      </c>
    </row>
    <row r="648" spans="6:6" x14ac:dyDescent="0.25">
      <c r="F648" s="1" t="s">
        <v>2084</v>
      </c>
    </row>
    <row r="649" spans="6:6" x14ac:dyDescent="0.25">
      <c r="F649" s="1" t="s">
        <v>914</v>
      </c>
    </row>
    <row r="650" spans="6:6" x14ac:dyDescent="0.25">
      <c r="F650" s="1" t="s">
        <v>1208</v>
      </c>
    </row>
    <row r="651" spans="6:6" x14ac:dyDescent="0.25">
      <c r="F651" s="1" t="s">
        <v>1712</v>
      </c>
    </row>
    <row r="652" spans="6:6" x14ac:dyDescent="0.25">
      <c r="F652" s="1" t="s">
        <v>1242</v>
      </c>
    </row>
    <row r="653" spans="6:6" x14ac:dyDescent="0.25">
      <c r="F653" s="1" t="s">
        <v>1194</v>
      </c>
    </row>
    <row r="654" spans="6:6" x14ac:dyDescent="0.25">
      <c r="F654" s="1" t="s">
        <v>1438</v>
      </c>
    </row>
    <row r="655" spans="6:6" x14ac:dyDescent="0.25">
      <c r="F655" s="1" t="s">
        <v>1411</v>
      </c>
    </row>
    <row r="656" spans="6:6" x14ac:dyDescent="0.25">
      <c r="F656" s="1" t="s">
        <v>1359</v>
      </c>
    </row>
    <row r="657" spans="6:6" x14ac:dyDescent="0.25">
      <c r="F657" s="1" t="s">
        <v>1413</v>
      </c>
    </row>
    <row r="658" spans="6:6" x14ac:dyDescent="0.25">
      <c r="F658" s="1" t="s">
        <v>1365</v>
      </c>
    </row>
    <row r="659" spans="6:6" x14ac:dyDescent="0.25">
      <c r="F659" s="1" t="s">
        <v>1240</v>
      </c>
    </row>
    <row r="660" spans="6:6" x14ac:dyDescent="0.25">
      <c r="F660" s="1" t="s">
        <v>1358</v>
      </c>
    </row>
    <row r="661" spans="6:6" x14ac:dyDescent="0.25">
      <c r="F661" s="1" t="s">
        <v>1241</v>
      </c>
    </row>
    <row r="662" spans="6:6" x14ac:dyDescent="0.25">
      <c r="F662" s="1" t="s">
        <v>1412</v>
      </c>
    </row>
    <row r="663" spans="6:6" x14ac:dyDescent="0.25">
      <c r="F663" s="1" t="s">
        <v>1498</v>
      </c>
    </row>
    <row r="664" spans="6:6" x14ac:dyDescent="0.25">
      <c r="F664" s="1" t="s">
        <v>1209</v>
      </c>
    </row>
    <row r="665" spans="6:6" x14ac:dyDescent="0.25">
      <c r="F665" s="1" t="s">
        <v>1626</v>
      </c>
    </row>
    <row r="666" spans="6:6" x14ac:dyDescent="0.25">
      <c r="F666" s="1" t="s">
        <v>1170</v>
      </c>
    </row>
    <row r="667" spans="6:6" x14ac:dyDescent="0.25">
      <c r="F667" s="1" t="s">
        <v>1245</v>
      </c>
    </row>
    <row r="668" spans="6:6" x14ac:dyDescent="0.25">
      <c r="F668" s="1" t="s">
        <v>1171</v>
      </c>
    </row>
    <row r="669" spans="6:6" x14ac:dyDescent="0.25">
      <c r="F669" s="1" t="s">
        <v>1196</v>
      </c>
    </row>
    <row r="670" spans="6:6" x14ac:dyDescent="0.25">
      <c r="F670" s="1" t="s">
        <v>1439</v>
      </c>
    </row>
    <row r="671" spans="6:6" x14ac:dyDescent="0.25">
      <c r="F671" s="1" t="s">
        <v>1246</v>
      </c>
    </row>
    <row r="672" spans="6:6" x14ac:dyDescent="0.25">
      <c r="F672" s="1" t="s">
        <v>1247</v>
      </c>
    </row>
    <row r="673" spans="6:6" x14ac:dyDescent="0.25">
      <c r="F673" s="1" t="s">
        <v>1588</v>
      </c>
    </row>
    <row r="674" spans="6:6" x14ac:dyDescent="0.25">
      <c r="F674" s="1" t="s">
        <v>1248</v>
      </c>
    </row>
    <row r="675" spans="6:6" x14ac:dyDescent="0.25">
      <c r="F675" s="1" t="s">
        <v>1172</v>
      </c>
    </row>
    <row r="676" spans="6:6" x14ac:dyDescent="0.25">
      <c r="F676" s="1" t="s">
        <v>1197</v>
      </c>
    </row>
    <row r="677" spans="6:6" x14ac:dyDescent="0.25">
      <c r="F677" s="1" t="s">
        <v>1418</v>
      </c>
    </row>
    <row r="678" spans="6:6" x14ac:dyDescent="0.25">
      <c r="F678" s="1" t="s">
        <v>1499</v>
      </c>
    </row>
    <row r="679" spans="6:6" x14ac:dyDescent="0.25">
      <c r="F679" s="1" t="s">
        <v>1173</v>
      </c>
    </row>
    <row r="680" spans="6:6" x14ac:dyDescent="0.25">
      <c r="F680" s="1" t="s">
        <v>1198</v>
      </c>
    </row>
    <row r="681" spans="6:6" x14ac:dyDescent="0.25">
      <c r="F681" s="1" t="s">
        <v>1168</v>
      </c>
    </row>
    <row r="682" spans="6:6" x14ac:dyDescent="0.25">
      <c r="F682" s="1" t="s">
        <v>904</v>
      </c>
    </row>
    <row r="683" spans="6:6" x14ac:dyDescent="0.25">
      <c r="F683" s="1" t="s">
        <v>1366</v>
      </c>
    </row>
    <row r="684" spans="6:6" x14ac:dyDescent="0.25">
      <c r="F684" s="1" t="s">
        <v>1199</v>
      </c>
    </row>
    <row r="685" spans="6:6" x14ac:dyDescent="0.25">
      <c r="F685" s="1" t="s">
        <v>1174</v>
      </c>
    </row>
    <row r="686" spans="6:6" x14ac:dyDescent="0.25">
      <c r="F686" s="1" t="s">
        <v>1249</v>
      </c>
    </row>
    <row r="687" spans="6:6" x14ac:dyDescent="0.25">
      <c r="F687" s="1" t="s">
        <v>1367</v>
      </c>
    </row>
    <row r="688" spans="6:6" x14ac:dyDescent="0.25">
      <c r="F688" s="1" t="s">
        <v>1589</v>
      </c>
    </row>
    <row r="689" spans="6:6" x14ac:dyDescent="0.25">
      <c r="F689" s="1" t="s">
        <v>1440</v>
      </c>
    </row>
    <row r="690" spans="6:6" x14ac:dyDescent="0.25">
      <c r="F690" s="1" t="s">
        <v>1441</v>
      </c>
    </row>
    <row r="691" spans="6:6" x14ac:dyDescent="0.25">
      <c r="F691" s="1" t="s">
        <v>1442</v>
      </c>
    </row>
    <row r="692" spans="6:6" x14ac:dyDescent="0.25">
      <c r="F692" s="1" t="s">
        <v>1443</v>
      </c>
    </row>
    <row r="693" spans="6:6" x14ac:dyDescent="0.25">
      <c r="F693" s="1" t="s">
        <v>1444</v>
      </c>
    </row>
    <row r="694" spans="6:6" x14ac:dyDescent="0.25">
      <c r="F694" s="1" t="s">
        <v>1200</v>
      </c>
    </row>
    <row r="695" spans="6:6" x14ac:dyDescent="0.25">
      <c r="F695" s="1" t="s">
        <v>1201</v>
      </c>
    </row>
    <row r="696" spans="6:6" x14ac:dyDescent="0.25">
      <c r="F696" s="1" t="s">
        <v>1360</v>
      </c>
    </row>
    <row r="697" spans="6:6" x14ac:dyDescent="0.25">
      <c r="F697" s="1" t="s">
        <v>1414</v>
      </c>
    </row>
    <row r="698" spans="6:6" x14ac:dyDescent="0.25">
      <c r="F698" s="1" t="s">
        <v>1415</v>
      </c>
    </row>
    <row r="699" spans="6:6" x14ac:dyDescent="0.25">
      <c r="F699" s="1" t="s">
        <v>1195</v>
      </c>
    </row>
    <row r="700" spans="6:6" x14ac:dyDescent="0.25">
      <c r="F700" s="1" t="s">
        <v>1243</v>
      </c>
    </row>
    <row r="701" spans="6:6" x14ac:dyDescent="0.25">
      <c r="F701" s="1" t="s">
        <v>1361</v>
      </c>
    </row>
    <row r="702" spans="6:6" x14ac:dyDescent="0.25">
      <c r="F702" s="1" t="s">
        <v>1362</v>
      </c>
    </row>
    <row r="703" spans="6:6" x14ac:dyDescent="0.25">
      <c r="F703" s="1" t="s">
        <v>1169</v>
      </c>
    </row>
    <row r="704" spans="6:6" x14ac:dyDescent="0.25">
      <c r="F704" s="1" t="s">
        <v>1416</v>
      </c>
    </row>
    <row r="705" spans="6:6" x14ac:dyDescent="0.25">
      <c r="F705" s="1" t="s">
        <v>1417</v>
      </c>
    </row>
    <row r="706" spans="6:6" x14ac:dyDescent="0.25">
      <c r="F706" s="1" t="s">
        <v>1244</v>
      </c>
    </row>
    <row r="707" spans="6:6" x14ac:dyDescent="0.25">
      <c r="F707" s="1" t="s">
        <v>927</v>
      </c>
    </row>
    <row r="708" spans="6:6" x14ac:dyDescent="0.25">
      <c r="F708" s="1" t="s">
        <v>2258</v>
      </c>
    </row>
    <row r="709" spans="6:6" x14ac:dyDescent="0.25">
      <c r="F709" s="1" t="s">
        <v>1122</v>
      </c>
    </row>
    <row r="710" spans="6:6" x14ac:dyDescent="0.25">
      <c r="F710" s="1" t="s">
        <v>1002</v>
      </c>
    </row>
    <row r="711" spans="6:6" x14ac:dyDescent="0.25">
      <c r="F711" s="1" t="s">
        <v>1001</v>
      </c>
    </row>
    <row r="712" spans="6:6" x14ac:dyDescent="0.25">
      <c r="F712" s="1" t="s">
        <v>988</v>
      </c>
    </row>
    <row r="713" spans="6:6" x14ac:dyDescent="0.25">
      <c r="F713" s="1" t="s">
        <v>1013</v>
      </c>
    </row>
    <row r="714" spans="6:6" x14ac:dyDescent="0.25">
      <c r="F714" s="1" t="s">
        <v>1000</v>
      </c>
    </row>
    <row r="715" spans="6:6" x14ac:dyDescent="0.25">
      <c r="F715" s="1" t="s">
        <v>1074</v>
      </c>
    </row>
    <row r="716" spans="6:6" x14ac:dyDescent="0.25">
      <c r="F716" s="1" t="s">
        <v>1164</v>
      </c>
    </row>
    <row r="717" spans="6:6" x14ac:dyDescent="0.25">
      <c r="F717" s="1" t="s">
        <v>1668</v>
      </c>
    </row>
    <row r="718" spans="6:6" x14ac:dyDescent="0.25">
      <c r="F718" s="1" t="s">
        <v>1029</v>
      </c>
    </row>
    <row r="719" spans="6:6" x14ac:dyDescent="0.25">
      <c r="F719" s="1" t="s">
        <v>1112</v>
      </c>
    </row>
    <row r="720" spans="6:6" x14ac:dyDescent="0.25">
      <c r="F720" s="1" t="s">
        <v>1302</v>
      </c>
    </row>
    <row r="721" spans="6:6" x14ac:dyDescent="0.25">
      <c r="F721" s="1" t="s">
        <v>1177</v>
      </c>
    </row>
    <row r="722" spans="6:6" x14ac:dyDescent="0.25">
      <c r="F722" s="1" t="s">
        <v>1220</v>
      </c>
    </row>
    <row r="723" spans="6:6" x14ac:dyDescent="0.25">
      <c r="F723" s="1" t="s">
        <v>942</v>
      </c>
    </row>
    <row r="724" spans="6:6" x14ac:dyDescent="0.25">
      <c r="F724" s="1" t="s">
        <v>905</v>
      </c>
    </row>
    <row r="725" spans="6:6" x14ac:dyDescent="0.25">
      <c r="F725" s="1" t="s">
        <v>1165</v>
      </c>
    </row>
    <row r="726" spans="6:6" x14ac:dyDescent="0.25">
      <c r="F726" s="1" t="s">
        <v>1387</v>
      </c>
    </row>
    <row r="727" spans="6:6" x14ac:dyDescent="0.25">
      <c r="F727" s="1" t="s">
        <v>1150</v>
      </c>
    </row>
    <row r="728" spans="6:6" x14ac:dyDescent="0.25">
      <c r="F728" s="1" t="s">
        <v>1028</v>
      </c>
    </row>
    <row r="729" spans="6:6" x14ac:dyDescent="0.25">
      <c r="F729" s="1" t="s">
        <v>1176</v>
      </c>
    </row>
    <row r="730" spans="6:6" x14ac:dyDescent="0.25">
      <c r="F730" s="1" t="s">
        <v>1298</v>
      </c>
    </row>
    <row r="731" spans="6:6" x14ac:dyDescent="0.25">
      <c r="F731" s="1" t="s">
        <v>1305</v>
      </c>
    </row>
    <row r="732" spans="6:6" x14ac:dyDescent="0.25">
      <c r="F732" s="1" t="s">
        <v>1518</v>
      </c>
    </row>
    <row r="733" spans="6:6" x14ac:dyDescent="0.25">
      <c r="F733" s="1" t="s">
        <v>1075</v>
      </c>
    </row>
    <row r="734" spans="6:6" x14ac:dyDescent="0.25">
      <c r="F734" s="1" t="s">
        <v>906</v>
      </c>
    </row>
    <row r="735" spans="6:6" x14ac:dyDescent="0.25">
      <c r="F735" s="1" t="s">
        <v>1103</v>
      </c>
    </row>
    <row r="736" spans="6:6" x14ac:dyDescent="0.25">
      <c r="F736" s="1" t="s">
        <v>1623</v>
      </c>
    </row>
    <row r="737" spans="6:6" x14ac:dyDescent="0.25">
      <c r="F737" s="1" t="s">
        <v>1104</v>
      </c>
    </row>
    <row r="738" spans="6:6" x14ac:dyDescent="0.25">
      <c r="F738" s="1" t="s">
        <v>1105</v>
      </c>
    </row>
    <row r="739" spans="6:6" x14ac:dyDescent="0.25">
      <c r="F739" s="1" t="s">
        <v>1434</v>
      </c>
    </row>
    <row r="740" spans="6:6" x14ac:dyDescent="0.25">
      <c r="F740" s="1" t="s">
        <v>1435</v>
      </c>
    </row>
    <row r="741" spans="6:6" x14ac:dyDescent="0.25">
      <c r="F741" s="1" t="s">
        <v>1352</v>
      </c>
    </row>
    <row r="742" spans="6:6" x14ac:dyDescent="0.25">
      <c r="F742" s="1" t="s">
        <v>1436</v>
      </c>
    </row>
    <row r="743" spans="6:6" x14ac:dyDescent="0.25">
      <c r="F743" s="1" t="s">
        <v>1446</v>
      </c>
    </row>
    <row r="744" spans="6:6" x14ac:dyDescent="0.25">
      <c r="F744" s="1" t="s">
        <v>1032</v>
      </c>
    </row>
    <row r="745" spans="6:6" x14ac:dyDescent="0.25">
      <c r="F745" s="1" t="s">
        <v>1437</v>
      </c>
    </row>
    <row r="746" spans="6:6" x14ac:dyDescent="0.25">
      <c r="F746" s="1" t="s">
        <v>1106</v>
      </c>
    </row>
    <row r="747" spans="6:6" x14ac:dyDescent="0.25">
      <c r="F747" s="1" t="s">
        <v>1107</v>
      </c>
    </row>
    <row r="748" spans="6:6" x14ac:dyDescent="0.25">
      <c r="F748" s="1" t="s">
        <v>1304</v>
      </c>
    </row>
    <row r="749" spans="6:6" x14ac:dyDescent="0.25">
      <c r="F749" s="1" t="s">
        <v>1221</v>
      </c>
    </row>
    <row r="750" spans="6:6" x14ac:dyDescent="0.25">
      <c r="F750" s="1" t="s">
        <v>1179</v>
      </c>
    </row>
    <row r="751" spans="6:6" x14ac:dyDescent="0.25">
      <c r="F751" s="1" t="s">
        <v>1299</v>
      </c>
    </row>
    <row r="752" spans="6:6" x14ac:dyDescent="0.25">
      <c r="F752" s="1" t="s">
        <v>1033</v>
      </c>
    </row>
    <row r="753" spans="6:6" x14ac:dyDescent="0.25">
      <c r="F753" s="1" t="s">
        <v>1108</v>
      </c>
    </row>
    <row r="754" spans="6:6" x14ac:dyDescent="0.25">
      <c r="F754" s="1" t="s">
        <v>1109</v>
      </c>
    </row>
    <row r="755" spans="6:6" x14ac:dyDescent="0.25">
      <c r="F755" s="1" t="s">
        <v>1222</v>
      </c>
    </row>
    <row r="756" spans="6:6" x14ac:dyDescent="0.25">
      <c r="F756" s="1" t="s">
        <v>943</v>
      </c>
    </row>
    <row r="757" spans="6:6" x14ac:dyDescent="0.25">
      <c r="F757" s="1" t="s">
        <v>1076</v>
      </c>
    </row>
    <row r="758" spans="6:6" x14ac:dyDescent="0.25">
      <c r="F758" s="1" t="s">
        <v>1077</v>
      </c>
    </row>
    <row r="759" spans="6:6" x14ac:dyDescent="0.25">
      <c r="F759" s="1" t="s">
        <v>907</v>
      </c>
    </row>
    <row r="760" spans="6:6" x14ac:dyDescent="0.25">
      <c r="F760" s="1" t="s">
        <v>1166</v>
      </c>
    </row>
    <row r="761" spans="6:6" x14ac:dyDescent="0.25">
      <c r="F761" s="1" t="s">
        <v>1110</v>
      </c>
    </row>
    <row r="762" spans="6:6" x14ac:dyDescent="0.25">
      <c r="F762" s="1" t="s">
        <v>800</v>
      </c>
    </row>
    <row r="763" spans="6:6" x14ac:dyDescent="0.25">
      <c r="F763" s="1" t="s">
        <v>1306</v>
      </c>
    </row>
    <row r="764" spans="6:6" x14ac:dyDescent="0.25">
      <c r="F764" s="1" t="s">
        <v>1034</v>
      </c>
    </row>
    <row r="765" spans="6:6" x14ac:dyDescent="0.25">
      <c r="F765" s="1" t="s">
        <v>1078</v>
      </c>
    </row>
    <row r="766" spans="6:6" x14ac:dyDescent="0.25">
      <c r="F766" s="1" t="s">
        <v>1079</v>
      </c>
    </row>
    <row r="767" spans="6:6" x14ac:dyDescent="0.25">
      <c r="F767" s="1" t="s">
        <v>1080</v>
      </c>
    </row>
    <row r="768" spans="6:6" x14ac:dyDescent="0.25">
      <c r="F768" s="1" t="s">
        <v>1081</v>
      </c>
    </row>
    <row r="769" spans="6:6" x14ac:dyDescent="0.25">
      <c r="F769" s="1" t="s">
        <v>1082</v>
      </c>
    </row>
    <row r="770" spans="6:6" x14ac:dyDescent="0.25">
      <c r="F770" s="1" t="s">
        <v>1083</v>
      </c>
    </row>
    <row r="771" spans="6:6" x14ac:dyDescent="0.25">
      <c r="F771" s="1" t="s">
        <v>1084</v>
      </c>
    </row>
    <row r="772" spans="6:6" x14ac:dyDescent="0.25">
      <c r="F772" s="1" t="s">
        <v>1388</v>
      </c>
    </row>
    <row r="773" spans="6:6" x14ac:dyDescent="0.25">
      <c r="F773" s="1" t="s">
        <v>1035</v>
      </c>
    </row>
    <row r="774" spans="6:6" x14ac:dyDescent="0.25">
      <c r="F774" s="1" t="s">
        <v>1149</v>
      </c>
    </row>
    <row r="775" spans="6:6" x14ac:dyDescent="0.25">
      <c r="F775" s="1" t="s">
        <v>1085</v>
      </c>
    </row>
    <row r="776" spans="6:6" x14ac:dyDescent="0.25">
      <c r="F776" s="1" t="s">
        <v>1086</v>
      </c>
    </row>
    <row r="777" spans="6:6" x14ac:dyDescent="0.25">
      <c r="F777" s="1" t="s">
        <v>1087</v>
      </c>
    </row>
    <row r="778" spans="6:6" x14ac:dyDescent="0.25">
      <c r="F778" s="1" t="s">
        <v>1088</v>
      </c>
    </row>
    <row r="779" spans="6:6" x14ac:dyDescent="0.25">
      <c r="F779" s="1" t="s">
        <v>1089</v>
      </c>
    </row>
    <row r="780" spans="6:6" x14ac:dyDescent="0.25">
      <c r="F780" s="1" t="s">
        <v>1090</v>
      </c>
    </row>
    <row r="781" spans="6:6" x14ac:dyDescent="0.25">
      <c r="F781" s="1" t="s">
        <v>1091</v>
      </c>
    </row>
    <row r="782" spans="6:6" x14ac:dyDescent="0.25">
      <c r="F782" s="1" t="s">
        <v>1092</v>
      </c>
    </row>
    <row r="783" spans="6:6" x14ac:dyDescent="0.25">
      <c r="F783" s="1" t="s">
        <v>1093</v>
      </c>
    </row>
    <row r="784" spans="6:6" x14ac:dyDescent="0.25">
      <c r="F784" s="1" t="s">
        <v>1500</v>
      </c>
    </row>
    <row r="785" spans="6:6" x14ac:dyDescent="0.25">
      <c r="F785" s="1" t="s">
        <v>1094</v>
      </c>
    </row>
    <row r="786" spans="6:6" x14ac:dyDescent="0.25">
      <c r="F786" s="1" t="s">
        <v>1445</v>
      </c>
    </row>
    <row r="787" spans="6:6" x14ac:dyDescent="0.25">
      <c r="F787" s="1" t="s">
        <v>1030</v>
      </c>
    </row>
    <row r="788" spans="6:6" x14ac:dyDescent="0.25">
      <c r="F788" s="1" t="s">
        <v>1095</v>
      </c>
    </row>
    <row r="789" spans="6:6" x14ac:dyDescent="0.25">
      <c r="F789" s="1" t="s">
        <v>1096</v>
      </c>
    </row>
    <row r="790" spans="6:6" x14ac:dyDescent="0.25">
      <c r="F790" s="1" t="s">
        <v>1303</v>
      </c>
    </row>
    <row r="791" spans="6:6" x14ac:dyDescent="0.25">
      <c r="F791" s="1" t="s">
        <v>1370</v>
      </c>
    </row>
    <row r="792" spans="6:6" x14ac:dyDescent="0.25">
      <c r="F792" s="1" t="s">
        <v>1097</v>
      </c>
    </row>
    <row r="793" spans="6:6" x14ac:dyDescent="0.25">
      <c r="F793" s="1" t="s">
        <v>1178</v>
      </c>
    </row>
    <row r="794" spans="6:6" x14ac:dyDescent="0.25">
      <c r="F794" s="1" t="s">
        <v>1031</v>
      </c>
    </row>
    <row r="795" spans="6:6" x14ac:dyDescent="0.25">
      <c r="F795" s="1" t="s">
        <v>1098</v>
      </c>
    </row>
    <row r="796" spans="6:6" x14ac:dyDescent="0.25">
      <c r="F796" s="1" t="s">
        <v>1464</v>
      </c>
    </row>
    <row r="797" spans="6:6" x14ac:dyDescent="0.25">
      <c r="F797" s="1" t="s">
        <v>1099</v>
      </c>
    </row>
    <row r="798" spans="6:6" x14ac:dyDescent="0.25">
      <c r="F798" s="1" t="s">
        <v>1100</v>
      </c>
    </row>
    <row r="799" spans="6:6" x14ac:dyDescent="0.25">
      <c r="F799" s="1" t="s">
        <v>1101</v>
      </c>
    </row>
    <row r="800" spans="6:6" x14ac:dyDescent="0.25">
      <c r="F800" s="1" t="s">
        <v>1102</v>
      </c>
    </row>
    <row r="801" spans="6:6" x14ac:dyDescent="0.25">
      <c r="F801" s="1" t="s">
        <v>2290</v>
      </c>
    </row>
    <row r="802" spans="6:6" x14ac:dyDescent="0.25">
      <c r="F802" s="1" t="s">
        <v>978</v>
      </c>
    </row>
    <row r="803" spans="6:6" x14ac:dyDescent="0.25">
      <c r="F803" s="1" t="s">
        <v>1123</v>
      </c>
    </row>
    <row r="804" spans="6:6" x14ac:dyDescent="0.25">
      <c r="F804" s="1" t="s">
        <v>1014</v>
      </c>
    </row>
    <row r="805" spans="6:6" x14ac:dyDescent="0.25">
      <c r="F805" s="1" t="s">
        <v>1124</v>
      </c>
    </row>
    <row r="806" spans="6:6" x14ac:dyDescent="0.25">
      <c r="F806" s="1" t="s">
        <v>1025</v>
      </c>
    </row>
    <row r="807" spans="6:6" x14ac:dyDescent="0.25">
      <c r="F807" s="1" t="s">
        <v>2288</v>
      </c>
    </row>
    <row r="808" spans="6:6" x14ac:dyDescent="0.25">
      <c r="F808" s="1" t="s">
        <v>1987</v>
      </c>
    </row>
    <row r="809" spans="6:6" x14ac:dyDescent="0.25">
      <c r="F809" s="1" t="s">
        <v>1708</v>
      </c>
    </row>
    <row r="810" spans="6:6" x14ac:dyDescent="0.25">
      <c r="F810" s="1" t="s">
        <v>1330</v>
      </c>
    </row>
    <row r="811" spans="6:6" x14ac:dyDescent="0.25">
      <c r="F811" s="1" t="s">
        <v>1331</v>
      </c>
    </row>
    <row r="812" spans="6:6" x14ac:dyDescent="0.25">
      <c r="F812" s="1" t="s">
        <v>929</v>
      </c>
    </row>
    <row r="813" spans="6:6" x14ac:dyDescent="0.25">
      <c r="F813" s="1" t="s">
        <v>144</v>
      </c>
    </row>
    <row r="814" spans="6:6" x14ac:dyDescent="0.25">
      <c r="F814" s="1" t="s">
        <v>810</v>
      </c>
    </row>
    <row r="815" spans="6:6" x14ac:dyDescent="0.25">
      <c r="F815" s="1" t="s">
        <v>2521</v>
      </c>
    </row>
    <row r="816" spans="6:6" x14ac:dyDescent="0.25">
      <c r="F816" s="1" t="s">
        <v>2524</v>
      </c>
    </row>
    <row r="817" spans="6:6" x14ac:dyDescent="0.25">
      <c r="F817" s="1" t="s">
        <v>1863</v>
      </c>
    </row>
    <row r="818" spans="6:6" x14ac:dyDescent="0.25">
      <c r="F818" s="1" t="s">
        <v>2602</v>
      </c>
    </row>
    <row r="819" spans="6:6" x14ac:dyDescent="0.25">
      <c r="F819" s="1" t="s">
        <v>2523</v>
      </c>
    </row>
    <row r="820" spans="6:6" x14ac:dyDescent="0.25">
      <c r="F820" s="1" t="s">
        <v>1855</v>
      </c>
    </row>
    <row r="821" spans="6:6" x14ac:dyDescent="0.25">
      <c r="F821" s="1" t="s">
        <v>2236</v>
      </c>
    </row>
    <row r="822" spans="6:6" x14ac:dyDescent="0.25">
      <c r="F822" s="1" t="s">
        <v>2090</v>
      </c>
    </row>
    <row r="823" spans="6:6" x14ac:dyDescent="0.25">
      <c r="F823" s="1" t="s">
        <v>2091</v>
      </c>
    </row>
    <row r="824" spans="6:6" x14ac:dyDescent="0.25">
      <c r="F824" s="1" t="s">
        <v>2731</v>
      </c>
    </row>
    <row r="825" spans="6:6" x14ac:dyDescent="0.25">
      <c r="F825" s="1" t="s">
        <v>2226</v>
      </c>
    </row>
    <row r="826" spans="6:6" x14ac:dyDescent="0.25">
      <c r="F826" s="1" t="s">
        <v>1753</v>
      </c>
    </row>
    <row r="827" spans="6:6" x14ac:dyDescent="0.25">
      <c r="F827" s="1" t="s">
        <v>2013</v>
      </c>
    </row>
    <row r="828" spans="6:6" x14ac:dyDescent="0.25">
      <c r="F828" s="1" t="s">
        <v>2497</v>
      </c>
    </row>
    <row r="829" spans="6:6" x14ac:dyDescent="0.25">
      <c r="F829" s="1" t="s">
        <v>2791</v>
      </c>
    </row>
    <row r="830" spans="6:6" x14ac:dyDescent="0.25">
      <c r="F830" s="1" t="s">
        <v>2851</v>
      </c>
    </row>
    <row r="831" spans="6:6" x14ac:dyDescent="0.25">
      <c r="F831" s="1" t="s">
        <v>146</v>
      </c>
    </row>
    <row r="832" spans="6:6" x14ac:dyDescent="0.25">
      <c r="F832" s="1" t="s">
        <v>147</v>
      </c>
    </row>
    <row r="833" spans="6:6" x14ac:dyDescent="0.25">
      <c r="F833" s="1" t="s">
        <v>505</v>
      </c>
    </row>
    <row r="834" spans="6:6" x14ac:dyDescent="0.25">
      <c r="F834" s="1" t="s">
        <v>501</v>
      </c>
    </row>
    <row r="835" spans="6:6" x14ac:dyDescent="0.25">
      <c r="F835" s="1" t="s">
        <v>502</v>
      </c>
    </row>
    <row r="836" spans="6:6" x14ac:dyDescent="0.25">
      <c r="F836" s="1" t="s">
        <v>27</v>
      </c>
    </row>
    <row r="837" spans="6:6" x14ac:dyDescent="0.25">
      <c r="F837" s="1" t="s">
        <v>28</v>
      </c>
    </row>
    <row r="838" spans="6:6" x14ac:dyDescent="0.25">
      <c r="F838" s="1" t="s">
        <v>148</v>
      </c>
    </row>
    <row r="839" spans="6:6" x14ac:dyDescent="0.25">
      <c r="F839" s="1" t="s">
        <v>149</v>
      </c>
    </row>
    <row r="840" spans="6:6" x14ac:dyDescent="0.25">
      <c r="F840" s="1" t="s">
        <v>150</v>
      </c>
    </row>
    <row r="841" spans="6:6" x14ac:dyDescent="0.25">
      <c r="F841" s="1" t="s">
        <v>151</v>
      </c>
    </row>
    <row r="842" spans="6:6" x14ac:dyDescent="0.25">
      <c r="F842" s="1" t="s">
        <v>1154</v>
      </c>
    </row>
    <row r="843" spans="6:6" x14ac:dyDescent="0.25">
      <c r="F843" s="1" t="s">
        <v>1156</v>
      </c>
    </row>
    <row r="844" spans="6:6" x14ac:dyDescent="0.25">
      <c r="F844" s="1" t="s">
        <v>416</v>
      </c>
    </row>
    <row r="845" spans="6:6" x14ac:dyDescent="0.25">
      <c r="F845" s="1" t="s">
        <v>394</v>
      </c>
    </row>
    <row r="846" spans="6:6" x14ac:dyDescent="0.25">
      <c r="F846" s="1" t="s">
        <v>997</v>
      </c>
    </row>
    <row r="847" spans="6:6" x14ac:dyDescent="0.25">
      <c r="F847" s="1" t="s">
        <v>998</v>
      </c>
    </row>
    <row r="848" spans="6:6" x14ac:dyDescent="0.25">
      <c r="F848" s="1" t="s">
        <v>1219</v>
      </c>
    </row>
    <row r="849" spans="6:6" x14ac:dyDescent="0.25">
      <c r="F849" s="1" t="s">
        <v>1155</v>
      </c>
    </row>
    <row r="850" spans="6:6" x14ac:dyDescent="0.25">
      <c r="F850" s="1" t="s">
        <v>780</v>
      </c>
    </row>
    <row r="851" spans="6:6" x14ac:dyDescent="0.25">
      <c r="F851" s="1" t="s">
        <v>955</v>
      </c>
    </row>
    <row r="852" spans="6:6" x14ac:dyDescent="0.25">
      <c r="F852" s="1" t="s">
        <v>373</v>
      </c>
    </row>
    <row r="853" spans="6:6" x14ac:dyDescent="0.25">
      <c r="F853" s="1" t="s">
        <v>397</v>
      </c>
    </row>
    <row r="854" spans="6:6" x14ac:dyDescent="0.25">
      <c r="F854" s="1" t="s">
        <v>713</v>
      </c>
    </row>
    <row r="855" spans="6:6" x14ac:dyDescent="0.25">
      <c r="F855" s="1" t="s">
        <v>339</v>
      </c>
    </row>
    <row r="856" spans="6:6" x14ac:dyDescent="0.25">
      <c r="F856" s="1" t="s">
        <v>932</v>
      </c>
    </row>
    <row r="857" spans="6:6" x14ac:dyDescent="0.25">
      <c r="F857" s="1" t="s">
        <v>417</v>
      </c>
    </row>
    <row r="858" spans="6:6" x14ac:dyDescent="0.25">
      <c r="F858" s="1" t="s">
        <v>2391</v>
      </c>
    </row>
    <row r="859" spans="6:6" x14ac:dyDescent="0.25">
      <c r="F859" s="1" t="s">
        <v>712</v>
      </c>
    </row>
    <row r="860" spans="6:6" x14ac:dyDescent="0.25">
      <c r="F860" s="1" t="s">
        <v>2390</v>
      </c>
    </row>
    <row r="861" spans="6:6" x14ac:dyDescent="0.25">
      <c r="F861" s="1" t="s">
        <v>420</v>
      </c>
    </row>
    <row r="862" spans="6:6" x14ac:dyDescent="0.25">
      <c r="F862" s="1" t="s">
        <v>2353</v>
      </c>
    </row>
    <row r="863" spans="6:6" x14ac:dyDescent="0.25">
      <c r="F863" s="1" t="s">
        <v>982</v>
      </c>
    </row>
    <row r="864" spans="6:6" x14ac:dyDescent="0.25">
      <c r="F864" s="1" t="s">
        <v>981</v>
      </c>
    </row>
    <row r="865" spans="6:6" x14ac:dyDescent="0.25">
      <c r="F865" s="1" t="s">
        <v>2338</v>
      </c>
    </row>
    <row r="866" spans="6:6" x14ac:dyDescent="0.25">
      <c r="F866" s="1" t="s">
        <v>909</v>
      </c>
    </row>
    <row r="867" spans="6:6" x14ac:dyDescent="0.25">
      <c r="F867" s="1" t="s">
        <v>2393</v>
      </c>
    </row>
    <row r="868" spans="6:6" x14ac:dyDescent="0.25">
      <c r="F868" s="1" t="s">
        <v>2392</v>
      </c>
    </row>
    <row r="869" spans="6:6" x14ac:dyDescent="0.25">
      <c r="F869" s="1" t="s">
        <v>408</v>
      </c>
    </row>
    <row r="870" spans="6:6" x14ac:dyDescent="0.25">
      <c r="F870" s="1" t="s">
        <v>1676</v>
      </c>
    </row>
    <row r="871" spans="6:6" x14ac:dyDescent="0.25">
      <c r="F871" s="1" t="s">
        <v>2389</v>
      </c>
    </row>
    <row r="872" spans="6:6" x14ac:dyDescent="0.25">
      <c r="F872" s="1" t="s">
        <v>2388</v>
      </c>
    </row>
    <row r="873" spans="6:6" x14ac:dyDescent="0.25">
      <c r="F873" s="1" t="s">
        <v>855</v>
      </c>
    </row>
    <row r="874" spans="6:6" x14ac:dyDescent="0.25">
      <c r="F874" s="1" t="s">
        <v>1670</v>
      </c>
    </row>
    <row r="875" spans="6:6" x14ac:dyDescent="0.25">
      <c r="F875" s="1" t="s">
        <v>1374</v>
      </c>
    </row>
    <row r="876" spans="6:6" x14ac:dyDescent="0.25">
      <c r="F876" s="1" t="s">
        <v>1455</v>
      </c>
    </row>
    <row r="877" spans="6:6" x14ac:dyDescent="0.25">
      <c r="F877" s="1" t="s">
        <v>1269</v>
      </c>
    </row>
    <row r="878" spans="6:6" x14ac:dyDescent="0.25">
      <c r="F878" s="1" t="s">
        <v>1456</v>
      </c>
    </row>
    <row r="879" spans="6:6" x14ac:dyDescent="0.25">
      <c r="F879" s="1" t="s">
        <v>1372</v>
      </c>
    </row>
    <row r="880" spans="6:6" x14ac:dyDescent="0.25">
      <c r="F880" s="1" t="s">
        <v>1671</v>
      </c>
    </row>
    <row r="881" spans="6:6" x14ac:dyDescent="0.25">
      <c r="F881" s="1" t="s">
        <v>1461</v>
      </c>
    </row>
    <row r="882" spans="6:6" x14ac:dyDescent="0.25">
      <c r="F882" s="1" t="s">
        <v>853</v>
      </c>
    </row>
    <row r="883" spans="6:6" x14ac:dyDescent="0.25">
      <c r="F883" s="1" t="s">
        <v>854</v>
      </c>
    </row>
    <row r="884" spans="6:6" x14ac:dyDescent="0.25">
      <c r="F884" s="1" t="s">
        <v>1462</v>
      </c>
    </row>
    <row r="885" spans="6:6" x14ac:dyDescent="0.25">
      <c r="F885" s="1" t="s">
        <v>1278</v>
      </c>
    </row>
    <row r="886" spans="6:6" x14ac:dyDescent="0.25">
      <c r="F886" s="1" t="s">
        <v>1259</v>
      </c>
    </row>
    <row r="887" spans="6:6" x14ac:dyDescent="0.25">
      <c r="F887" s="1" t="s">
        <v>1624</v>
      </c>
    </row>
    <row r="888" spans="6:6" x14ac:dyDescent="0.25">
      <c r="F888" s="1" t="s">
        <v>1223</v>
      </c>
    </row>
    <row r="889" spans="6:6" x14ac:dyDescent="0.25">
      <c r="F889" s="1" t="s">
        <v>1264</v>
      </c>
    </row>
    <row r="890" spans="6:6" x14ac:dyDescent="0.25">
      <c r="F890" s="1" t="s">
        <v>1460</v>
      </c>
    </row>
    <row r="891" spans="6:6" x14ac:dyDescent="0.25">
      <c r="F891" s="1" t="s">
        <v>776</v>
      </c>
    </row>
    <row r="892" spans="6:6" x14ac:dyDescent="0.25">
      <c r="F892" s="1" t="s">
        <v>1260</v>
      </c>
    </row>
    <row r="893" spans="6:6" x14ac:dyDescent="0.25">
      <c r="F893" s="1" t="s">
        <v>1454</v>
      </c>
    </row>
    <row r="894" spans="6:6" x14ac:dyDescent="0.25">
      <c r="F894" s="1" t="s">
        <v>1261</v>
      </c>
    </row>
    <row r="895" spans="6:6" x14ac:dyDescent="0.25">
      <c r="F895" s="1" t="s">
        <v>1224</v>
      </c>
    </row>
    <row r="896" spans="6:6" x14ac:dyDescent="0.25">
      <c r="F896" s="1" t="s">
        <v>2051</v>
      </c>
    </row>
    <row r="897" spans="6:6" x14ac:dyDescent="0.25">
      <c r="F897" s="1" t="s">
        <v>1373</v>
      </c>
    </row>
    <row r="898" spans="6:6" x14ac:dyDescent="0.25">
      <c r="F898" s="1" t="s">
        <v>781</v>
      </c>
    </row>
    <row r="899" spans="6:6" x14ac:dyDescent="0.25">
      <c r="F899" s="1" t="s">
        <v>1459</v>
      </c>
    </row>
    <row r="900" spans="6:6" x14ac:dyDescent="0.25">
      <c r="F900" s="1" t="s">
        <v>1375</v>
      </c>
    </row>
    <row r="901" spans="6:6" x14ac:dyDescent="0.25">
      <c r="F901" s="1" t="s">
        <v>520</v>
      </c>
    </row>
    <row r="902" spans="6:6" x14ac:dyDescent="0.25">
      <c r="F902" s="1" t="s">
        <v>1371</v>
      </c>
    </row>
    <row r="903" spans="6:6" x14ac:dyDescent="0.25">
      <c r="F903" s="1" t="s">
        <v>1294</v>
      </c>
    </row>
    <row r="904" spans="6:6" x14ac:dyDescent="0.25">
      <c r="F904" s="1" t="s">
        <v>1258</v>
      </c>
    </row>
    <row r="905" spans="6:6" x14ac:dyDescent="0.25">
      <c r="F905" s="1" t="s">
        <v>521</v>
      </c>
    </row>
    <row r="906" spans="6:6" x14ac:dyDescent="0.25">
      <c r="F906" s="1" t="s">
        <v>1423</v>
      </c>
    </row>
    <row r="907" spans="6:6" x14ac:dyDescent="0.25">
      <c r="F907" s="1" t="s">
        <v>1289</v>
      </c>
    </row>
    <row r="908" spans="6:6" x14ac:dyDescent="0.25">
      <c r="F908" s="1" t="s">
        <v>659</v>
      </c>
    </row>
    <row r="909" spans="6:6" x14ac:dyDescent="0.25">
      <c r="F909" s="1" t="s">
        <v>516</v>
      </c>
    </row>
    <row r="910" spans="6:6" x14ac:dyDescent="0.25">
      <c r="F910" s="1" t="s">
        <v>1125</v>
      </c>
    </row>
    <row r="911" spans="6:6" x14ac:dyDescent="0.25">
      <c r="F911" s="1" t="s">
        <v>610</v>
      </c>
    </row>
    <row r="912" spans="6:6" x14ac:dyDescent="0.25">
      <c r="F912" s="1" t="s">
        <v>504</v>
      </c>
    </row>
    <row r="913" spans="6:6" x14ac:dyDescent="0.25">
      <c r="F913" s="1" t="s">
        <v>517</v>
      </c>
    </row>
    <row r="914" spans="6:6" x14ac:dyDescent="0.25">
      <c r="F914" s="1" t="s">
        <v>518</v>
      </c>
    </row>
    <row r="915" spans="6:6" x14ac:dyDescent="0.25">
      <c r="F915" s="1" t="s">
        <v>519</v>
      </c>
    </row>
    <row r="916" spans="6:6" x14ac:dyDescent="0.25">
      <c r="F916" s="1" t="s">
        <v>503</v>
      </c>
    </row>
    <row r="917" spans="6:6" x14ac:dyDescent="0.25">
      <c r="F917" s="1" t="s">
        <v>717</v>
      </c>
    </row>
    <row r="918" spans="6:6" x14ac:dyDescent="0.25">
      <c r="F918" s="1" t="s">
        <v>727</v>
      </c>
    </row>
    <row r="919" spans="6:6" x14ac:dyDescent="0.25">
      <c r="F919" s="1" t="s">
        <v>715</v>
      </c>
    </row>
    <row r="920" spans="6:6" x14ac:dyDescent="0.25">
      <c r="F920" s="1" t="s">
        <v>1669</v>
      </c>
    </row>
    <row r="921" spans="6:6" x14ac:dyDescent="0.25">
      <c r="F921" s="1" t="s">
        <v>714</v>
      </c>
    </row>
    <row r="922" spans="6:6" x14ac:dyDescent="0.25">
      <c r="F922" s="1" t="s">
        <v>711</v>
      </c>
    </row>
    <row r="923" spans="6:6" x14ac:dyDescent="0.25">
      <c r="F923" s="1" t="s">
        <v>922</v>
      </c>
    </row>
    <row r="924" spans="6:6" x14ac:dyDescent="0.25">
      <c r="F924" s="1" t="s">
        <v>716</v>
      </c>
    </row>
    <row r="925" spans="6:6" x14ac:dyDescent="0.25">
      <c r="F925" s="1" t="s">
        <v>522</v>
      </c>
    </row>
    <row r="926" spans="6:6" x14ac:dyDescent="0.25">
      <c r="F926" s="1" t="s">
        <v>523</v>
      </c>
    </row>
    <row r="927" spans="6:6" x14ac:dyDescent="0.25">
      <c r="F927" s="1" t="s">
        <v>524</v>
      </c>
    </row>
    <row r="928" spans="6:6" x14ac:dyDescent="0.25">
      <c r="F928" s="1" t="s">
        <v>718</v>
      </c>
    </row>
    <row r="929" spans="6:6" x14ac:dyDescent="0.25">
      <c r="F929" s="1" t="s">
        <v>405</v>
      </c>
    </row>
    <row r="930" spans="6:6" x14ac:dyDescent="0.25">
      <c r="F930" s="1" t="s">
        <v>1113</v>
      </c>
    </row>
    <row r="931" spans="6:6" x14ac:dyDescent="0.25">
      <c r="F931" s="1" t="s">
        <v>430</v>
      </c>
    </row>
    <row r="932" spans="6:6" x14ac:dyDescent="0.25">
      <c r="F932" s="1" t="s">
        <v>356</v>
      </c>
    </row>
    <row r="933" spans="6:6" x14ac:dyDescent="0.25">
      <c r="F933" s="1" t="s">
        <v>513</v>
      </c>
    </row>
    <row r="934" spans="6:6" x14ac:dyDescent="0.25">
      <c r="F934" s="1" t="s">
        <v>22</v>
      </c>
    </row>
    <row r="935" spans="6:6" x14ac:dyDescent="0.25">
      <c r="F935" s="1" t="s">
        <v>4438</v>
      </c>
    </row>
    <row r="936" spans="6:6" x14ac:dyDescent="0.25">
      <c r="F936" s="1" t="s">
        <v>34</v>
      </c>
    </row>
    <row r="937" spans="6:6" x14ac:dyDescent="0.25">
      <c r="F937" s="1" t="s">
        <v>33</v>
      </c>
    </row>
    <row r="938" spans="6:6" x14ac:dyDescent="0.25">
      <c r="F938" s="1" t="s">
        <v>41</v>
      </c>
    </row>
    <row r="939" spans="6:6" x14ac:dyDescent="0.25">
      <c r="F939" s="1" t="s">
        <v>29</v>
      </c>
    </row>
    <row r="940" spans="6:6" x14ac:dyDescent="0.25">
      <c r="F940" s="1" t="s">
        <v>30</v>
      </c>
    </row>
    <row r="941" spans="6:6" x14ac:dyDescent="0.25">
      <c r="F941" s="1" t="s">
        <v>402</v>
      </c>
    </row>
    <row r="942" spans="6:6" x14ac:dyDescent="0.25">
      <c r="F942" s="1" t="s">
        <v>199</v>
      </c>
    </row>
    <row r="943" spans="6:6" x14ac:dyDescent="0.25">
      <c r="F943" s="1" t="s">
        <v>200</v>
      </c>
    </row>
    <row r="944" spans="6:6" x14ac:dyDescent="0.25">
      <c r="F944" s="1" t="s">
        <v>365</v>
      </c>
    </row>
    <row r="945" spans="6:6" x14ac:dyDescent="0.25">
      <c r="F945" s="1" t="s">
        <v>204</v>
      </c>
    </row>
    <row r="946" spans="6:6" x14ac:dyDescent="0.25">
      <c r="F946" s="1" t="s">
        <v>210</v>
      </c>
    </row>
    <row r="947" spans="6:6" x14ac:dyDescent="0.25">
      <c r="F947" s="1" t="s">
        <v>211</v>
      </c>
    </row>
    <row r="948" spans="6:6" x14ac:dyDescent="0.25">
      <c r="F948" s="1" t="s">
        <v>212</v>
      </c>
    </row>
    <row r="949" spans="6:6" x14ac:dyDescent="0.25">
      <c r="F949" s="1" t="s">
        <v>215</v>
      </c>
    </row>
    <row r="950" spans="6:6" x14ac:dyDescent="0.25">
      <c r="F950" s="1" t="s">
        <v>195</v>
      </c>
    </row>
    <row r="951" spans="6:6" x14ac:dyDescent="0.25">
      <c r="F951" s="1" t="s">
        <v>197</v>
      </c>
    </row>
    <row r="952" spans="6:6" x14ac:dyDescent="0.25">
      <c r="F952" s="1" t="s">
        <v>198</v>
      </c>
    </row>
    <row r="953" spans="6:6" x14ac:dyDescent="0.25">
      <c r="F953" s="1" t="s">
        <v>196</v>
      </c>
    </row>
    <row r="954" spans="6:6" x14ac:dyDescent="0.25">
      <c r="F954" s="1" t="s">
        <v>201</v>
      </c>
    </row>
    <row r="955" spans="6:6" x14ac:dyDescent="0.25">
      <c r="F955" s="1" t="s">
        <v>421</v>
      </c>
    </row>
    <row r="956" spans="6:6" x14ac:dyDescent="0.25">
      <c r="F956" s="1" t="s">
        <v>474</v>
      </c>
    </row>
    <row r="957" spans="6:6" x14ac:dyDescent="0.25">
      <c r="F957" s="1" t="s">
        <v>203</v>
      </c>
    </row>
    <row r="958" spans="6:6" x14ac:dyDescent="0.25">
      <c r="F958" s="1" t="s">
        <v>205</v>
      </c>
    </row>
    <row r="959" spans="6:6" x14ac:dyDescent="0.25">
      <c r="F959" s="1" t="s">
        <v>206</v>
      </c>
    </row>
    <row r="960" spans="6:6" x14ac:dyDescent="0.25">
      <c r="F960" s="1" t="s">
        <v>207</v>
      </c>
    </row>
    <row r="961" spans="6:6" x14ac:dyDescent="0.25">
      <c r="F961" s="1" t="s">
        <v>208</v>
      </c>
    </row>
    <row r="962" spans="6:6" x14ac:dyDescent="0.25">
      <c r="F962" s="1" t="s">
        <v>209</v>
      </c>
    </row>
    <row r="963" spans="6:6" x14ac:dyDescent="0.25">
      <c r="F963" s="1" t="s">
        <v>213</v>
      </c>
    </row>
    <row r="964" spans="6:6" x14ac:dyDescent="0.25">
      <c r="F964" s="1" t="s">
        <v>202</v>
      </c>
    </row>
    <row r="965" spans="6:6" x14ac:dyDescent="0.25">
      <c r="F965" s="1" t="s">
        <v>214</v>
      </c>
    </row>
    <row r="966" spans="6:6" x14ac:dyDescent="0.25">
      <c r="F966" s="1" t="s">
        <v>226</v>
      </c>
    </row>
    <row r="967" spans="6:6" x14ac:dyDescent="0.25">
      <c r="F967" s="1" t="s">
        <v>1726</v>
      </c>
    </row>
    <row r="968" spans="6:6" x14ac:dyDescent="0.25">
      <c r="F968" s="1" t="s">
        <v>532</v>
      </c>
    </row>
    <row r="969" spans="6:6" x14ac:dyDescent="0.25">
      <c r="F969" s="1" t="s">
        <v>1720</v>
      </c>
    </row>
    <row r="970" spans="6:6" x14ac:dyDescent="0.25">
      <c r="F970" s="1" t="s">
        <v>494</v>
      </c>
    </row>
    <row r="971" spans="6:6" x14ac:dyDescent="0.25">
      <c r="F971" s="1" t="s">
        <v>1727</v>
      </c>
    </row>
    <row r="972" spans="6:6" x14ac:dyDescent="0.25">
      <c r="F972" s="1" t="s">
        <v>2202</v>
      </c>
    </row>
    <row r="973" spans="6:6" x14ac:dyDescent="0.25">
      <c r="F973" s="1" t="s">
        <v>2665</v>
      </c>
    </row>
    <row r="974" spans="6:6" x14ac:dyDescent="0.25">
      <c r="F974" s="1" t="s">
        <v>550</v>
      </c>
    </row>
    <row r="975" spans="6:6" x14ac:dyDescent="0.25">
      <c r="F975" s="1" t="s">
        <v>549</v>
      </c>
    </row>
    <row r="976" spans="6:6" x14ac:dyDescent="0.25">
      <c r="F976" s="1" t="s">
        <v>548</v>
      </c>
    </row>
    <row r="977" spans="6:6" x14ac:dyDescent="0.25">
      <c r="F977" s="1" t="s">
        <v>566</v>
      </c>
    </row>
    <row r="978" spans="6:6" x14ac:dyDescent="0.25">
      <c r="F978" s="1" t="s">
        <v>835</v>
      </c>
    </row>
    <row r="979" spans="6:6" x14ac:dyDescent="0.25">
      <c r="F979" s="1" t="s">
        <v>1833</v>
      </c>
    </row>
    <row r="980" spans="6:6" x14ac:dyDescent="0.25">
      <c r="F980" s="1" t="s">
        <v>837</v>
      </c>
    </row>
    <row r="981" spans="6:6" x14ac:dyDescent="0.25">
      <c r="F981" s="1" t="s">
        <v>1832</v>
      </c>
    </row>
    <row r="982" spans="6:6" x14ac:dyDescent="0.25">
      <c r="F982" s="1" t="s">
        <v>838</v>
      </c>
    </row>
    <row r="983" spans="6:6" x14ac:dyDescent="0.25">
      <c r="F983" s="1" t="s">
        <v>836</v>
      </c>
    </row>
    <row r="984" spans="6:6" x14ac:dyDescent="0.25">
      <c r="F984" s="1" t="s">
        <v>834</v>
      </c>
    </row>
    <row r="985" spans="6:6" x14ac:dyDescent="0.25">
      <c r="F985" s="1" t="s">
        <v>2439</v>
      </c>
    </row>
    <row r="986" spans="6:6" x14ac:dyDescent="0.25">
      <c r="F986" s="1" t="s">
        <v>470</v>
      </c>
    </row>
    <row r="987" spans="6:6" x14ac:dyDescent="0.25">
      <c r="F987" s="1" t="s">
        <v>687</v>
      </c>
    </row>
    <row r="988" spans="6:6" x14ac:dyDescent="0.25">
      <c r="F988" s="1" t="s">
        <v>1672</v>
      </c>
    </row>
    <row r="989" spans="6:6" x14ac:dyDescent="0.25">
      <c r="F989" s="1" t="s">
        <v>1647</v>
      </c>
    </row>
    <row r="990" spans="6:6" x14ac:dyDescent="0.25">
      <c r="F990" s="1" t="s">
        <v>1648</v>
      </c>
    </row>
    <row r="991" spans="6:6" x14ac:dyDescent="0.25">
      <c r="F991" s="1" t="s">
        <v>2055</v>
      </c>
    </row>
    <row r="992" spans="6:6" x14ac:dyDescent="0.25">
      <c r="F992" s="1" t="s">
        <v>693</v>
      </c>
    </row>
    <row r="993" spans="6:6" x14ac:dyDescent="0.25">
      <c r="F993" s="1" t="s">
        <v>694</v>
      </c>
    </row>
    <row r="994" spans="6:6" x14ac:dyDescent="0.25">
      <c r="F994" s="1" t="s">
        <v>710</v>
      </c>
    </row>
    <row r="995" spans="6:6" x14ac:dyDescent="0.25">
      <c r="F995" s="1" t="s">
        <v>2289</v>
      </c>
    </row>
    <row r="996" spans="6:6" x14ac:dyDescent="0.25">
      <c r="F996" s="1" t="s">
        <v>2300</v>
      </c>
    </row>
    <row r="997" spans="6:6" x14ac:dyDescent="0.25">
      <c r="F997" s="1" t="s">
        <v>2310</v>
      </c>
    </row>
    <row r="998" spans="6:6" x14ac:dyDescent="0.25">
      <c r="F998" s="1" t="s">
        <v>787</v>
      </c>
    </row>
    <row r="999" spans="6:6" x14ac:dyDescent="0.25">
      <c r="F999" s="1" t="s">
        <v>343</v>
      </c>
    </row>
    <row r="1000" spans="6:6" x14ac:dyDescent="0.25">
      <c r="F1000" s="1" t="s">
        <v>1158</v>
      </c>
    </row>
    <row r="1001" spans="6:6" x14ac:dyDescent="0.25">
      <c r="F1001" s="1" t="s">
        <v>602</v>
      </c>
    </row>
    <row r="1002" spans="6:6" x14ac:dyDescent="0.25">
      <c r="F1002" s="1" t="s">
        <v>606</v>
      </c>
    </row>
    <row r="1003" spans="6:6" x14ac:dyDescent="0.25">
      <c r="F1003" s="1" t="s">
        <v>607</v>
      </c>
    </row>
    <row r="1004" spans="6:6" x14ac:dyDescent="0.25">
      <c r="F1004" s="1" t="s">
        <v>569</v>
      </c>
    </row>
    <row r="1005" spans="6:6" x14ac:dyDescent="0.25">
      <c r="F1005" s="1" t="s">
        <v>604</v>
      </c>
    </row>
    <row r="1006" spans="6:6" x14ac:dyDescent="0.25">
      <c r="F1006" s="1" t="s">
        <v>605</v>
      </c>
    </row>
    <row r="1007" spans="6:6" x14ac:dyDescent="0.25">
      <c r="F1007" s="1" t="s">
        <v>603</v>
      </c>
    </row>
    <row r="1008" spans="6:6" x14ac:dyDescent="0.25">
      <c r="F1008" s="1" t="s">
        <v>936</v>
      </c>
    </row>
    <row r="1009" spans="6:6" x14ac:dyDescent="0.25">
      <c r="F1009" s="1" t="s">
        <v>598</v>
      </c>
    </row>
    <row r="1010" spans="6:6" x14ac:dyDescent="0.25">
      <c r="F1010" s="1" t="s">
        <v>492</v>
      </c>
    </row>
    <row r="1011" spans="6:6" x14ac:dyDescent="0.25">
      <c r="F1011" s="1" t="s">
        <v>688</v>
      </c>
    </row>
    <row r="1012" spans="6:6" x14ac:dyDescent="0.25">
      <c r="F1012" s="1" t="s">
        <v>691</v>
      </c>
    </row>
    <row r="1013" spans="6:6" x14ac:dyDescent="0.25">
      <c r="F1013" s="1" t="s">
        <v>692</v>
      </c>
    </row>
    <row r="1014" spans="6:6" x14ac:dyDescent="0.25">
      <c r="F1014" s="1" t="s">
        <v>526</v>
      </c>
    </row>
    <row r="1015" spans="6:6" x14ac:dyDescent="0.25">
      <c r="F1015" s="1" t="s">
        <v>689</v>
      </c>
    </row>
    <row r="1016" spans="6:6" x14ac:dyDescent="0.25">
      <c r="F1016" s="1" t="s">
        <v>564</v>
      </c>
    </row>
    <row r="1017" spans="6:6" x14ac:dyDescent="0.25">
      <c r="F1017" s="1" t="s">
        <v>447</v>
      </c>
    </row>
    <row r="1018" spans="6:6" x14ac:dyDescent="0.25">
      <c r="F1018" s="1" t="s">
        <v>342</v>
      </c>
    </row>
    <row r="1019" spans="6:6" x14ac:dyDescent="0.25">
      <c r="F1019" s="1" t="s">
        <v>2666</v>
      </c>
    </row>
    <row r="1020" spans="6:6" x14ac:dyDescent="0.25">
      <c r="F1020" s="1" t="s">
        <v>2657</v>
      </c>
    </row>
    <row r="1021" spans="6:6" x14ac:dyDescent="0.25">
      <c r="F1021" s="1" t="s">
        <v>2637</v>
      </c>
    </row>
    <row r="1022" spans="6:6" x14ac:dyDescent="0.25">
      <c r="F1022" s="1" t="s">
        <v>152</v>
      </c>
    </row>
    <row r="1023" spans="6:6" x14ac:dyDescent="0.25">
      <c r="F1023" s="1" t="s">
        <v>153</v>
      </c>
    </row>
    <row r="1024" spans="6:6" x14ac:dyDescent="0.25">
      <c r="F1024" s="1" t="s">
        <v>154</v>
      </c>
    </row>
    <row r="1025" spans="6:6" x14ac:dyDescent="0.25">
      <c r="F1025" s="1" t="s">
        <v>155</v>
      </c>
    </row>
    <row r="1026" spans="6:6" x14ac:dyDescent="0.25">
      <c r="F1026" s="1" t="s">
        <v>156</v>
      </c>
    </row>
    <row r="1027" spans="6:6" x14ac:dyDescent="0.25">
      <c r="F1027" s="1" t="s">
        <v>157</v>
      </c>
    </row>
    <row r="1028" spans="6:6" x14ac:dyDescent="0.25">
      <c r="F1028" s="1" t="s">
        <v>158</v>
      </c>
    </row>
    <row r="1029" spans="6:6" x14ac:dyDescent="0.25">
      <c r="F1029" s="1" t="s">
        <v>159</v>
      </c>
    </row>
    <row r="1030" spans="6:6" x14ac:dyDescent="0.25">
      <c r="F1030" s="1" t="s">
        <v>160</v>
      </c>
    </row>
    <row r="1031" spans="6:6" x14ac:dyDescent="0.25">
      <c r="F1031" s="1" t="s">
        <v>161</v>
      </c>
    </row>
    <row r="1032" spans="6:6" x14ac:dyDescent="0.25">
      <c r="F1032" s="1" t="s">
        <v>2295</v>
      </c>
    </row>
    <row r="1033" spans="6:6" x14ac:dyDescent="0.25">
      <c r="F1033" s="1" t="s">
        <v>162</v>
      </c>
    </row>
    <row r="1034" spans="6:6" x14ac:dyDescent="0.25">
      <c r="F1034" s="1" t="s">
        <v>163</v>
      </c>
    </row>
    <row r="1035" spans="6:6" x14ac:dyDescent="0.25">
      <c r="F1035" s="1" t="s">
        <v>165</v>
      </c>
    </row>
    <row r="1036" spans="6:6" x14ac:dyDescent="0.25">
      <c r="F1036" s="1" t="s">
        <v>164</v>
      </c>
    </row>
    <row r="1037" spans="6:6" x14ac:dyDescent="0.25">
      <c r="F1037" s="1" t="s">
        <v>166</v>
      </c>
    </row>
    <row r="1038" spans="6:6" x14ac:dyDescent="0.25">
      <c r="F1038" s="1" t="s">
        <v>167</v>
      </c>
    </row>
    <row r="1039" spans="6:6" x14ac:dyDescent="0.25">
      <c r="F1039" s="1" t="s">
        <v>2077</v>
      </c>
    </row>
    <row r="1040" spans="6:6" x14ac:dyDescent="0.25">
      <c r="F1040" s="1" t="s">
        <v>1810</v>
      </c>
    </row>
    <row r="1041" spans="6:6" x14ac:dyDescent="0.25">
      <c r="F1041" s="1" t="s">
        <v>448</v>
      </c>
    </row>
    <row r="1042" spans="6:6" x14ac:dyDescent="0.25">
      <c r="F1042" s="1" t="s">
        <v>168</v>
      </c>
    </row>
    <row r="1043" spans="6:6" x14ac:dyDescent="0.25">
      <c r="F1043" s="1" t="s">
        <v>169</v>
      </c>
    </row>
    <row r="1044" spans="6:6" x14ac:dyDescent="0.25">
      <c r="F1044" s="1" t="s">
        <v>170</v>
      </c>
    </row>
    <row r="1045" spans="6:6" x14ac:dyDescent="0.25">
      <c r="F1045" s="1" t="s">
        <v>171</v>
      </c>
    </row>
    <row r="1046" spans="6:6" x14ac:dyDescent="0.25">
      <c r="F1046" s="1" t="s">
        <v>172</v>
      </c>
    </row>
    <row r="1047" spans="6:6" x14ac:dyDescent="0.25">
      <c r="F1047" s="1" t="s">
        <v>173</v>
      </c>
    </row>
    <row r="1048" spans="6:6" x14ac:dyDescent="0.25">
      <c r="F1048" s="1" t="s">
        <v>174</v>
      </c>
    </row>
    <row r="1049" spans="6:6" x14ac:dyDescent="0.25">
      <c r="F1049" s="1" t="s">
        <v>175</v>
      </c>
    </row>
    <row r="1050" spans="6:6" x14ac:dyDescent="0.25">
      <c r="F1050" s="1" t="s">
        <v>495</v>
      </c>
    </row>
    <row r="1051" spans="6:6" x14ac:dyDescent="0.25">
      <c r="F1051" s="1" t="s">
        <v>176</v>
      </c>
    </row>
    <row r="1052" spans="6:6" x14ac:dyDescent="0.25">
      <c r="F1052" s="1" t="s">
        <v>177</v>
      </c>
    </row>
    <row r="1053" spans="6:6" x14ac:dyDescent="0.25">
      <c r="F1053" s="1" t="s">
        <v>178</v>
      </c>
    </row>
    <row r="1054" spans="6:6" x14ac:dyDescent="0.25">
      <c r="F1054" s="1" t="s">
        <v>2206</v>
      </c>
    </row>
    <row r="1055" spans="6:6" x14ac:dyDescent="0.25">
      <c r="F1055" s="1" t="s">
        <v>385</v>
      </c>
    </row>
    <row r="1056" spans="6:6" x14ac:dyDescent="0.25">
      <c r="F1056" s="1" t="s">
        <v>1650</v>
      </c>
    </row>
    <row r="1057" spans="6:6" x14ac:dyDescent="0.25">
      <c r="F1057" s="1" t="s">
        <v>805</v>
      </c>
    </row>
    <row r="1058" spans="6:6" x14ac:dyDescent="0.25">
      <c r="F1058" s="1" t="s">
        <v>1673</v>
      </c>
    </row>
    <row r="1059" spans="6:6" x14ac:dyDescent="0.25">
      <c r="F1059" s="1" t="s">
        <v>686</v>
      </c>
    </row>
    <row r="1060" spans="6:6" x14ac:dyDescent="0.25">
      <c r="F1060" s="1" t="s">
        <v>685</v>
      </c>
    </row>
    <row r="1061" spans="6:6" x14ac:dyDescent="0.25">
      <c r="F1061" s="1" t="s">
        <v>2056</v>
      </c>
    </row>
    <row r="1062" spans="6:6" x14ac:dyDescent="0.25">
      <c r="F1062" s="1" t="s">
        <v>682</v>
      </c>
    </row>
    <row r="1063" spans="6:6" x14ac:dyDescent="0.25">
      <c r="F1063" s="1" t="s">
        <v>683</v>
      </c>
    </row>
    <row r="1064" spans="6:6" x14ac:dyDescent="0.25">
      <c r="F1064" s="1" t="s">
        <v>684</v>
      </c>
    </row>
    <row r="1065" spans="6:6" x14ac:dyDescent="0.25">
      <c r="F1065" s="1" t="s">
        <v>679</v>
      </c>
    </row>
    <row r="1066" spans="6:6" x14ac:dyDescent="0.25">
      <c r="F1066" s="1" t="s">
        <v>680</v>
      </c>
    </row>
    <row r="1067" spans="6:6" x14ac:dyDescent="0.25">
      <c r="F1067" s="1" t="s">
        <v>681</v>
      </c>
    </row>
    <row r="1068" spans="6:6" x14ac:dyDescent="0.25">
      <c r="F1068" s="1" t="s">
        <v>478</v>
      </c>
    </row>
    <row r="1069" spans="6:6" x14ac:dyDescent="0.25">
      <c r="F1069" s="1" t="s">
        <v>509</v>
      </c>
    </row>
    <row r="1070" spans="6:6" x14ac:dyDescent="0.25">
      <c r="F1070" s="1" t="s">
        <v>463</v>
      </c>
    </row>
    <row r="1071" spans="6:6" x14ac:dyDescent="0.25">
      <c r="F1071" s="1" t="s">
        <v>2045</v>
      </c>
    </row>
    <row r="1072" spans="6:6" x14ac:dyDescent="0.25">
      <c r="F1072" s="1" t="s">
        <v>1927</v>
      </c>
    </row>
    <row r="1073" spans="6:6" x14ac:dyDescent="0.25">
      <c r="F1073" s="1" t="s">
        <v>2918</v>
      </c>
    </row>
    <row r="1074" spans="6:6" x14ac:dyDescent="0.25">
      <c r="F1074" s="1" t="s">
        <v>2097</v>
      </c>
    </row>
    <row r="1075" spans="6:6" x14ac:dyDescent="0.25">
      <c r="F1075" s="1" t="s">
        <v>2089</v>
      </c>
    </row>
    <row r="1076" spans="6:6" x14ac:dyDescent="0.25">
      <c r="F1076" s="1" t="s">
        <v>1754</v>
      </c>
    </row>
    <row r="1077" spans="6:6" x14ac:dyDescent="0.25">
      <c r="F1077" s="1" t="s">
        <v>1903</v>
      </c>
    </row>
    <row r="1078" spans="6:6" x14ac:dyDescent="0.25">
      <c r="F1078" s="1" t="s">
        <v>2807</v>
      </c>
    </row>
    <row r="1079" spans="6:6" x14ac:dyDescent="0.25">
      <c r="F1079" s="1" t="s">
        <v>541</v>
      </c>
    </row>
    <row r="1080" spans="6:6" x14ac:dyDescent="0.25">
      <c r="F1080" s="1" t="s">
        <v>543</v>
      </c>
    </row>
    <row r="1081" spans="6:6" x14ac:dyDescent="0.25">
      <c r="F1081" s="1" t="s">
        <v>2113</v>
      </c>
    </row>
    <row r="1082" spans="6:6" x14ac:dyDescent="0.25">
      <c r="F1082" s="1" t="s">
        <v>934</v>
      </c>
    </row>
    <row r="1083" spans="6:6" x14ac:dyDescent="0.25">
      <c r="F1083" s="1" t="s">
        <v>1212</v>
      </c>
    </row>
    <row r="1084" spans="6:6" x14ac:dyDescent="0.25">
      <c r="F1084" s="1" t="s">
        <v>179</v>
      </c>
    </row>
    <row r="1085" spans="6:6" x14ac:dyDescent="0.25">
      <c r="F1085" s="1" t="s">
        <v>354</v>
      </c>
    </row>
    <row r="1086" spans="6:6" x14ac:dyDescent="0.25">
      <c r="F1086" s="1" t="s">
        <v>2217</v>
      </c>
    </row>
    <row r="1087" spans="6:6" x14ac:dyDescent="0.25">
      <c r="F1087" s="1" t="s">
        <v>2218</v>
      </c>
    </row>
    <row r="1088" spans="6:6" x14ac:dyDescent="0.25">
      <c r="F1088" s="1" t="s">
        <v>2219</v>
      </c>
    </row>
    <row r="1089" spans="6:6" x14ac:dyDescent="0.25">
      <c r="F1089" s="1" t="s">
        <v>2192</v>
      </c>
    </row>
    <row r="1090" spans="6:6" x14ac:dyDescent="0.25">
      <c r="F1090" s="1" t="s">
        <v>1731</v>
      </c>
    </row>
    <row r="1091" spans="6:6" x14ac:dyDescent="0.25">
      <c r="F1091" s="1" t="s">
        <v>1916</v>
      </c>
    </row>
    <row r="1092" spans="6:6" x14ac:dyDescent="0.25">
      <c r="F1092" s="1" t="s">
        <v>1915</v>
      </c>
    </row>
    <row r="1093" spans="6:6" x14ac:dyDescent="0.25">
      <c r="F1093" s="1" t="s">
        <v>1921</v>
      </c>
    </row>
    <row r="1094" spans="6:6" x14ac:dyDescent="0.25">
      <c r="F1094" s="1" t="s">
        <v>1917</v>
      </c>
    </row>
    <row r="1095" spans="6:6" x14ac:dyDescent="0.25">
      <c r="F1095" s="1" t="s">
        <v>1758</v>
      </c>
    </row>
    <row r="1096" spans="6:6" x14ac:dyDescent="0.25">
      <c r="F1096" s="1" t="s">
        <v>2136</v>
      </c>
    </row>
    <row r="1097" spans="6:6" x14ac:dyDescent="0.25">
      <c r="F1097" s="1" t="s">
        <v>1738</v>
      </c>
    </row>
    <row r="1098" spans="6:6" x14ac:dyDescent="0.25">
      <c r="F1098" s="1" t="s">
        <v>1963</v>
      </c>
    </row>
    <row r="1099" spans="6:6" x14ac:dyDescent="0.25">
      <c r="F1099" s="1" t="s">
        <v>1964</v>
      </c>
    </row>
    <row r="1100" spans="6:6" x14ac:dyDescent="0.25">
      <c r="F1100" s="1" t="s">
        <v>1965</v>
      </c>
    </row>
    <row r="1101" spans="6:6" x14ac:dyDescent="0.25">
      <c r="F1101" s="1" t="s">
        <v>2129</v>
      </c>
    </row>
    <row r="1102" spans="6:6" x14ac:dyDescent="0.25">
      <c r="F1102" s="1" t="s">
        <v>1839</v>
      </c>
    </row>
    <row r="1103" spans="6:6" x14ac:dyDescent="0.25">
      <c r="F1103" s="1" t="s">
        <v>1804</v>
      </c>
    </row>
    <row r="1104" spans="6:6" x14ac:dyDescent="0.25">
      <c r="F1104" s="1" t="s">
        <v>1805</v>
      </c>
    </row>
    <row r="1105" spans="6:6" x14ac:dyDescent="0.25">
      <c r="F1105" s="1" t="s">
        <v>2802</v>
      </c>
    </row>
    <row r="1106" spans="6:6" x14ac:dyDescent="0.25">
      <c r="F1106" s="1" t="s">
        <v>1878</v>
      </c>
    </row>
    <row r="1107" spans="6:6" x14ac:dyDescent="0.25">
      <c r="F1107" s="1" t="s">
        <v>1996</v>
      </c>
    </row>
    <row r="1108" spans="6:6" x14ac:dyDescent="0.25">
      <c r="F1108" s="1" t="s">
        <v>1830</v>
      </c>
    </row>
    <row r="1109" spans="6:6" x14ac:dyDescent="0.25">
      <c r="F1109" s="1" t="s">
        <v>2239</v>
      </c>
    </row>
    <row r="1110" spans="6:6" x14ac:dyDescent="0.25">
      <c r="F1110" s="1" t="s">
        <v>1943</v>
      </c>
    </row>
    <row r="1111" spans="6:6" x14ac:dyDescent="0.25">
      <c r="F1111" s="1" t="s">
        <v>1850</v>
      </c>
    </row>
    <row r="1112" spans="6:6" x14ac:dyDescent="0.25">
      <c r="F1112" s="1" t="s">
        <v>1928</v>
      </c>
    </row>
    <row r="1113" spans="6:6" x14ac:dyDescent="0.25">
      <c r="F1113" s="1" t="s">
        <v>1816</v>
      </c>
    </row>
    <row r="1114" spans="6:6" x14ac:dyDescent="0.25">
      <c r="F1114" s="1" t="s">
        <v>2241</v>
      </c>
    </row>
    <row r="1115" spans="6:6" x14ac:dyDescent="0.25">
      <c r="F1115" s="1" t="s">
        <v>1342</v>
      </c>
    </row>
    <row r="1116" spans="6:6" x14ac:dyDescent="0.25">
      <c r="F1116" s="1" t="s">
        <v>1344</v>
      </c>
    </row>
    <row r="1117" spans="6:6" x14ac:dyDescent="0.25">
      <c r="F1117" s="1" t="s">
        <v>1343</v>
      </c>
    </row>
    <row r="1118" spans="6:6" x14ac:dyDescent="0.25">
      <c r="F1118" s="1" t="s">
        <v>1803</v>
      </c>
    </row>
    <row r="1119" spans="6:6" x14ac:dyDescent="0.25">
      <c r="F1119" s="1" t="s">
        <v>1968</v>
      </c>
    </row>
    <row r="1120" spans="6:6" x14ac:dyDescent="0.25">
      <c r="F1120" s="1" t="s">
        <v>2002</v>
      </c>
    </row>
    <row r="1121" spans="6:6" x14ac:dyDescent="0.25">
      <c r="F1121" s="1" t="s">
        <v>2421</v>
      </c>
    </row>
    <row r="1122" spans="6:6" x14ac:dyDescent="0.25">
      <c r="F1122" s="1" t="s">
        <v>2246</v>
      </c>
    </row>
    <row r="1123" spans="6:6" x14ac:dyDescent="0.25">
      <c r="F1123" s="1" t="s">
        <v>728</v>
      </c>
    </row>
    <row r="1124" spans="6:6" x14ac:dyDescent="0.25">
      <c r="F1124" s="1" t="s">
        <v>666</v>
      </c>
    </row>
    <row r="1125" spans="6:6" x14ac:dyDescent="0.25">
      <c r="F1125" s="1" t="s">
        <v>665</v>
      </c>
    </row>
    <row r="1126" spans="6:6" x14ac:dyDescent="0.25">
      <c r="F1126" s="1" t="s">
        <v>629</v>
      </c>
    </row>
    <row r="1127" spans="6:6" x14ac:dyDescent="0.25">
      <c r="F1127" s="1" t="s">
        <v>489</v>
      </c>
    </row>
    <row r="1128" spans="6:6" x14ac:dyDescent="0.25">
      <c r="F1128" s="1" t="s">
        <v>772</v>
      </c>
    </row>
    <row r="1129" spans="6:6" x14ac:dyDescent="0.25">
      <c r="F1129" s="1" t="s">
        <v>180</v>
      </c>
    </row>
    <row r="1130" spans="6:6" x14ac:dyDescent="0.25">
      <c r="F1130" s="1" t="s">
        <v>464</v>
      </c>
    </row>
    <row r="1131" spans="6:6" x14ac:dyDescent="0.25">
      <c r="F1131" s="1" t="s">
        <v>493</v>
      </c>
    </row>
    <row r="1132" spans="6:6" x14ac:dyDescent="0.25">
      <c r="F1132" s="1" t="s">
        <v>512</v>
      </c>
    </row>
    <row r="1133" spans="6:6" x14ac:dyDescent="0.25">
      <c r="F1133" s="1" t="s">
        <v>660</v>
      </c>
    </row>
    <row r="1134" spans="6:6" x14ac:dyDescent="0.25">
      <c r="F1134" s="1" t="s">
        <v>515</v>
      </c>
    </row>
    <row r="1135" spans="6:6" x14ac:dyDescent="0.25">
      <c r="F1135" s="1" t="s">
        <v>601</v>
      </c>
    </row>
    <row r="1136" spans="6:6" x14ac:dyDescent="0.25">
      <c r="F1136" s="1" t="s">
        <v>819</v>
      </c>
    </row>
    <row r="1137" spans="6:6" x14ac:dyDescent="0.25">
      <c r="F1137" s="1" t="s">
        <v>817</v>
      </c>
    </row>
    <row r="1138" spans="6:6" x14ac:dyDescent="0.25">
      <c r="F1138" s="1" t="s">
        <v>818</v>
      </c>
    </row>
    <row r="1139" spans="6:6" x14ac:dyDescent="0.25">
      <c r="F1139" s="1" t="s">
        <v>948</v>
      </c>
    </row>
    <row r="1140" spans="6:6" x14ac:dyDescent="0.25">
      <c r="F1140" s="1" t="s">
        <v>956</v>
      </c>
    </row>
    <row r="1141" spans="6:6" x14ac:dyDescent="0.25">
      <c r="F1141" s="1" t="s">
        <v>876</v>
      </c>
    </row>
    <row r="1142" spans="6:6" x14ac:dyDescent="0.25">
      <c r="F1142" s="1" t="s">
        <v>875</v>
      </c>
    </row>
    <row r="1143" spans="6:6" x14ac:dyDescent="0.25">
      <c r="F1143" s="1" t="s">
        <v>877</v>
      </c>
    </row>
    <row r="1144" spans="6:6" x14ac:dyDescent="0.25">
      <c r="F1144" s="1" t="s">
        <v>824</v>
      </c>
    </row>
    <row r="1145" spans="6:6" x14ac:dyDescent="0.25">
      <c r="F1145" s="1" t="s">
        <v>890</v>
      </c>
    </row>
    <row r="1146" spans="6:6" x14ac:dyDescent="0.25">
      <c r="F1146" s="1" t="s">
        <v>820</v>
      </c>
    </row>
    <row r="1147" spans="6:6" x14ac:dyDescent="0.25">
      <c r="F1147" s="1" t="s">
        <v>871</v>
      </c>
    </row>
    <row r="1148" spans="6:6" x14ac:dyDescent="0.25">
      <c r="F1148" s="1" t="s">
        <v>899</v>
      </c>
    </row>
    <row r="1149" spans="6:6" x14ac:dyDescent="0.25">
      <c r="F1149" s="1" t="s">
        <v>898</v>
      </c>
    </row>
    <row r="1150" spans="6:6" x14ac:dyDescent="0.25">
      <c r="F1150" s="1" t="s">
        <v>839</v>
      </c>
    </row>
    <row r="1151" spans="6:6" x14ac:dyDescent="0.25">
      <c r="F1151" s="1" t="s">
        <v>900</v>
      </c>
    </row>
    <row r="1152" spans="6:6" x14ac:dyDescent="0.25">
      <c r="F1152" s="1" t="s">
        <v>866</v>
      </c>
    </row>
    <row r="1153" spans="6:6" x14ac:dyDescent="0.25">
      <c r="F1153" s="1" t="s">
        <v>867</v>
      </c>
    </row>
    <row r="1154" spans="6:6" x14ac:dyDescent="0.25">
      <c r="F1154" s="1" t="s">
        <v>806</v>
      </c>
    </row>
    <row r="1155" spans="6:6" x14ac:dyDescent="0.25">
      <c r="F1155" s="1" t="s">
        <v>807</v>
      </c>
    </row>
    <row r="1156" spans="6:6" x14ac:dyDescent="0.25">
      <c r="F1156" s="1" t="s">
        <v>774</v>
      </c>
    </row>
    <row r="1157" spans="6:6" x14ac:dyDescent="0.25">
      <c r="F1157" s="1" t="s">
        <v>793</v>
      </c>
    </row>
    <row r="1158" spans="6:6" x14ac:dyDescent="0.25">
      <c r="F1158" s="1" t="s">
        <v>2355</v>
      </c>
    </row>
    <row r="1159" spans="6:6" x14ac:dyDescent="0.25">
      <c r="F1159" s="1" t="s">
        <v>795</v>
      </c>
    </row>
    <row r="1160" spans="6:6" x14ac:dyDescent="0.25">
      <c r="F1160" s="1" t="s">
        <v>2365</v>
      </c>
    </row>
    <row r="1161" spans="6:6" x14ac:dyDescent="0.25">
      <c r="F1161" s="1" t="s">
        <v>822</v>
      </c>
    </row>
    <row r="1162" spans="6:6" x14ac:dyDescent="0.25">
      <c r="F1162" s="1" t="s">
        <v>917</v>
      </c>
    </row>
    <row r="1163" spans="6:6" x14ac:dyDescent="0.25">
      <c r="F1163" s="1" t="s">
        <v>858</v>
      </c>
    </row>
    <row r="1164" spans="6:6" x14ac:dyDescent="0.25">
      <c r="F1164" s="1" t="s">
        <v>859</v>
      </c>
    </row>
    <row r="1165" spans="6:6" x14ac:dyDescent="0.25">
      <c r="F1165" s="1" t="s">
        <v>860</v>
      </c>
    </row>
    <row r="1166" spans="6:6" x14ac:dyDescent="0.25">
      <c r="F1166" s="1" t="s">
        <v>797</v>
      </c>
    </row>
    <row r="1167" spans="6:6" x14ac:dyDescent="0.25">
      <c r="F1167" s="1" t="s">
        <v>798</v>
      </c>
    </row>
    <row r="1168" spans="6:6" x14ac:dyDescent="0.25">
      <c r="F1168" s="1" t="s">
        <v>916</v>
      </c>
    </row>
    <row r="1169" spans="6:6" x14ac:dyDescent="0.25">
      <c r="F1169" s="1" t="s">
        <v>799</v>
      </c>
    </row>
    <row r="1170" spans="6:6" x14ac:dyDescent="0.25">
      <c r="F1170" s="1" t="s">
        <v>823</v>
      </c>
    </row>
    <row r="1171" spans="6:6" x14ac:dyDescent="0.25">
      <c r="F1171" s="1" t="s">
        <v>2372</v>
      </c>
    </row>
    <row r="1172" spans="6:6" x14ac:dyDescent="0.25">
      <c r="F1172" s="1" t="s">
        <v>796</v>
      </c>
    </row>
    <row r="1173" spans="6:6" x14ac:dyDescent="0.25">
      <c r="F1173" s="1" t="s">
        <v>856</v>
      </c>
    </row>
    <row r="1174" spans="6:6" x14ac:dyDescent="0.25">
      <c r="F1174" s="1" t="s">
        <v>857</v>
      </c>
    </row>
    <row r="1175" spans="6:6" x14ac:dyDescent="0.25">
      <c r="F1175" s="1" t="s">
        <v>2298</v>
      </c>
    </row>
    <row r="1176" spans="6:6" x14ac:dyDescent="0.25">
      <c r="F1176" s="1" t="s">
        <v>989</v>
      </c>
    </row>
    <row r="1177" spans="6:6" x14ac:dyDescent="0.25">
      <c r="F1177" s="1" t="s">
        <v>976</v>
      </c>
    </row>
    <row r="1178" spans="6:6" x14ac:dyDescent="0.25">
      <c r="F1178" s="1" t="s">
        <v>743</v>
      </c>
    </row>
    <row r="1179" spans="6:6" x14ac:dyDescent="0.25">
      <c r="F1179" s="1" t="s">
        <v>990</v>
      </c>
    </row>
    <row r="1180" spans="6:6" x14ac:dyDescent="0.25">
      <c r="F1180" s="1" t="s">
        <v>1651</v>
      </c>
    </row>
    <row r="1181" spans="6:6" x14ac:dyDescent="0.25">
      <c r="F1181" s="1" t="s">
        <v>1655</v>
      </c>
    </row>
    <row r="1182" spans="6:6" x14ac:dyDescent="0.25">
      <c r="F1182" s="1" t="s">
        <v>1653</v>
      </c>
    </row>
    <row r="1183" spans="6:6" x14ac:dyDescent="0.25">
      <c r="F1183" s="1" t="s">
        <v>1652</v>
      </c>
    </row>
    <row r="1184" spans="6:6" x14ac:dyDescent="0.25">
      <c r="F1184" s="1" t="s">
        <v>1654</v>
      </c>
    </row>
    <row r="1185" spans="6:6" x14ac:dyDescent="0.25">
      <c r="F1185" s="1" t="s">
        <v>1674</v>
      </c>
    </row>
    <row r="1186" spans="6:6" x14ac:dyDescent="0.25">
      <c r="F1186" s="1" t="s">
        <v>2296</v>
      </c>
    </row>
    <row r="1187" spans="6:6" x14ac:dyDescent="0.25">
      <c r="F1187" s="1" t="s">
        <v>1004</v>
      </c>
    </row>
    <row r="1188" spans="6:6" x14ac:dyDescent="0.25">
      <c r="F1188" s="1" t="s">
        <v>852</v>
      </c>
    </row>
    <row r="1189" spans="6:6" x14ac:dyDescent="0.25">
      <c r="F1189" s="1" t="s">
        <v>1010</v>
      </c>
    </row>
    <row r="1190" spans="6:6" x14ac:dyDescent="0.25">
      <c r="F1190" s="1" t="s">
        <v>783</v>
      </c>
    </row>
    <row r="1191" spans="6:6" x14ac:dyDescent="0.25">
      <c r="F1191" s="1" t="s">
        <v>803</v>
      </c>
    </row>
    <row r="1192" spans="6:6" x14ac:dyDescent="0.25">
      <c r="F1192" s="1" t="s">
        <v>801</v>
      </c>
    </row>
    <row r="1193" spans="6:6" x14ac:dyDescent="0.25">
      <c r="F1193" s="1" t="s">
        <v>782</v>
      </c>
    </row>
    <row r="1194" spans="6:6" x14ac:dyDescent="0.25">
      <c r="F1194" s="1" t="s">
        <v>769</v>
      </c>
    </row>
    <row r="1195" spans="6:6" x14ac:dyDescent="0.25">
      <c r="F1195" s="1" t="s">
        <v>390</v>
      </c>
    </row>
    <row r="1196" spans="6:6" x14ac:dyDescent="0.25">
      <c r="F1196" s="1" t="s">
        <v>802</v>
      </c>
    </row>
    <row r="1197" spans="6:6" x14ac:dyDescent="0.25">
      <c r="F1197" s="1" t="s">
        <v>915</v>
      </c>
    </row>
    <row r="1198" spans="6:6" x14ac:dyDescent="0.25">
      <c r="F1198" s="1" t="s">
        <v>1656</v>
      </c>
    </row>
    <row r="1199" spans="6:6" x14ac:dyDescent="0.25">
      <c r="F1199" s="1" t="s">
        <v>1270</v>
      </c>
    </row>
    <row r="1200" spans="6:6" x14ac:dyDescent="0.25">
      <c r="F1200" s="1" t="s">
        <v>1271</v>
      </c>
    </row>
    <row r="1201" spans="6:6" x14ac:dyDescent="0.25">
      <c r="F1201" s="1" t="s">
        <v>841</v>
      </c>
    </row>
    <row r="1202" spans="6:6" x14ac:dyDescent="0.25">
      <c r="F1202" s="1" t="s">
        <v>766</v>
      </c>
    </row>
    <row r="1203" spans="6:6" x14ac:dyDescent="0.25">
      <c r="F1203" s="1" t="s">
        <v>1622</v>
      </c>
    </row>
    <row r="1204" spans="6:6" x14ac:dyDescent="0.25">
      <c r="F1204" s="1" t="s">
        <v>752</v>
      </c>
    </row>
    <row r="1205" spans="6:6" x14ac:dyDescent="0.25">
      <c r="F1205" s="1" t="s">
        <v>840</v>
      </c>
    </row>
    <row r="1206" spans="6:6" x14ac:dyDescent="0.25">
      <c r="F1206" s="1" t="s">
        <v>1313</v>
      </c>
    </row>
    <row r="1207" spans="6:6" x14ac:dyDescent="0.25">
      <c r="F1207" s="1" t="s">
        <v>1657</v>
      </c>
    </row>
    <row r="1208" spans="6:6" x14ac:dyDescent="0.25">
      <c r="F1208" s="1" t="s">
        <v>1272</v>
      </c>
    </row>
    <row r="1209" spans="6:6" x14ac:dyDescent="0.25">
      <c r="F1209" s="1" t="s">
        <v>1262</v>
      </c>
    </row>
    <row r="1210" spans="6:6" x14ac:dyDescent="0.25">
      <c r="F1210" s="1" t="s">
        <v>1273</v>
      </c>
    </row>
    <row r="1211" spans="6:6" x14ac:dyDescent="0.25">
      <c r="F1211" s="1" t="s">
        <v>845</v>
      </c>
    </row>
    <row r="1212" spans="6:6" x14ac:dyDescent="0.25">
      <c r="F1212" s="1" t="s">
        <v>1274</v>
      </c>
    </row>
    <row r="1213" spans="6:6" x14ac:dyDescent="0.25">
      <c r="F1213" s="1" t="s">
        <v>1333</v>
      </c>
    </row>
    <row r="1214" spans="6:6" x14ac:dyDescent="0.25">
      <c r="F1214" s="1" t="s">
        <v>747</v>
      </c>
    </row>
    <row r="1215" spans="6:6" x14ac:dyDescent="0.25">
      <c r="F1215" s="1" t="s">
        <v>933</v>
      </c>
    </row>
    <row r="1216" spans="6:6" x14ac:dyDescent="0.25">
      <c r="F1216" s="1" t="s">
        <v>842</v>
      </c>
    </row>
    <row r="1217" spans="6:6" x14ac:dyDescent="0.25">
      <c r="F1217" s="1" t="s">
        <v>1314</v>
      </c>
    </row>
    <row r="1218" spans="6:6" x14ac:dyDescent="0.25">
      <c r="F1218" s="1" t="s">
        <v>843</v>
      </c>
    </row>
    <row r="1219" spans="6:6" x14ac:dyDescent="0.25">
      <c r="F1219" s="1" t="s">
        <v>753</v>
      </c>
    </row>
    <row r="1220" spans="6:6" x14ac:dyDescent="0.25">
      <c r="F1220" s="1" t="s">
        <v>844</v>
      </c>
    </row>
    <row r="1221" spans="6:6" x14ac:dyDescent="0.25">
      <c r="F1221" s="1" t="s">
        <v>1315</v>
      </c>
    </row>
    <row r="1222" spans="6:6" x14ac:dyDescent="0.25">
      <c r="F1222" s="1" t="s">
        <v>1332</v>
      </c>
    </row>
    <row r="1223" spans="6:6" x14ac:dyDescent="0.25">
      <c r="F1223" s="1" t="s">
        <v>388</v>
      </c>
    </row>
    <row r="1224" spans="6:6" x14ac:dyDescent="0.25">
      <c r="F1224" s="1" t="s">
        <v>745</v>
      </c>
    </row>
    <row r="1225" spans="6:6" x14ac:dyDescent="0.25">
      <c r="F1225" s="1" t="s">
        <v>2667</v>
      </c>
    </row>
    <row r="1226" spans="6:6" x14ac:dyDescent="0.25">
      <c r="F1226" s="1" t="s">
        <v>2512</v>
      </c>
    </row>
    <row r="1227" spans="6:6" x14ac:dyDescent="0.25">
      <c r="F1227" s="1" t="s">
        <v>413</v>
      </c>
    </row>
    <row r="1228" spans="6:6" x14ac:dyDescent="0.25">
      <c r="F1228" s="1" t="s">
        <v>393</v>
      </c>
    </row>
    <row r="1229" spans="6:6" x14ac:dyDescent="0.25">
      <c r="F1229" s="1" t="s">
        <v>40</v>
      </c>
    </row>
    <row r="1230" spans="6:6" x14ac:dyDescent="0.25">
      <c r="F1230" s="1" t="s">
        <v>353</v>
      </c>
    </row>
    <row r="1231" spans="6:6" x14ac:dyDescent="0.25">
      <c r="F1231" s="1" t="s">
        <v>182</v>
      </c>
    </row>
    <row r="1232" spans="6:6" x14ac:dyDescent="0.25">
      <c r="F1232" s="1" t="s">
        <v>825</v>
      </c>
    </row>
    <row r="1233" spans="6:6" x14ac:dyDescent="0.25">
      <c r="F1233" s="1" t="s">
        <v>826</v>
      </c>
    </row>
    <row r="1234" spans="6:6" x14ac:dyDescent="0.25">
      <c r="F1234" s="1" t="s">
        <v>1658</v>
      </c>
    </row>
    <row r="1235" spans="6:6" x14ac:dyDescent="0.25">
      <c r="F1235" s="1" t="s">
        <v>1015</v>
      </c>
    </row>
    <row r="1236" spans="6:6" x14ac:dyDescent="0.25">
      <c r="F1236" s="1" t="s">
        <v>1147</v>
      </c>
    </row>
    <row r="1237" spans="6:6" x14ac:dyDescent="0.25">
      <c r="F1237" s="1" t="s">
        <v>847</v>
      </c>
    </row>
    <row r="1238" spans="6:6" x14ac:dyDescent="0.25">
      <c r="F1238" s="1" t="s">
        <v>1016</v>
      </c>
    </row>
    <row r="1239" spans="6:6" x14ac:dyDescent="0.25">
      <c r="F1239" s="1" t="s">
        <v>846</v>
      </c>
    </row>
    <row r="1240" spans="6:6" x14ac:dyDescent="0.25">
      <c r="F1240" s="1" t="s">
        <v>959</v>
      </c>
    </row>
    <row r="1241" spans="6:6" x14ac:dyDescent="0.25">
      <c r="F1241" s="1" t="s">
        <v>961</v>
      </c>
    </row>
    <row r="1242" spans="6:6" x14ac:dyDescent="0.25">
      <c r="F1242" s="1" t="s">
        <v>966</v>
      </c>
    </row>
    <row r="1243" spans="6:6" x14ac:dyDescent="0.25">
      <c r="F1243" s="1" t="s">
        <v>1017</v>
      </c>
    </row>
    <row r="1244" spans="6:6" x14ac:dyDescent="0.25">
      <c r="F1244" s="1" t="s">
        <v>848</v>
      </c>
    </row>
    <row r="1245" spans="6:6" x14ac:dyDescent="0.25">
      <c r="F1245" s="1" t="s">
        <v>675</v>
      </c>
    </row>
    <row r="1246" spans="6:6" x14ac:dyDescent="0.25">
      <c r="F1246" s="1" t="s">
        <v>967</v>
      </c>
    </row>
    <row r="1247" spans="6:6" x14ac:dyDescent="0.25">
      <c r="F1247" s="1" t="s">
        <v>828</v>
      </c>
    </row>
    <row r="1248" spans="6:6" x14ac:dyDescent="0.25">
      <c r="F1248" s="1" t="s">
        <v>1018</v>
      </c>
    </row>
    <row r="1249" spans="6:6" x14ac:dyDescent="0.25">
      <c r="F1249" s="1" t="s">
        <v>1019</v>
      </c>
    </row>
    <row r="1250" spans="6:6" x14ac:dyDescent="0.25">
      <c r="F1250" s="1" t="s">
        <v>960</v>
      </c>
    </row>
    <row r="1251" spans="6:6" x14ac:dyDescent="0.25">
      <c r="F1251" s="1" t="s">
        <v>827</v>
      </c>
    </row>
    <row r="1252" spans="6:6" x14ac:dyDescent="0.25">
      <c r="F1252" s="1" t="s">
        <v>510</v>
      </c>
    </row>
    <row r="1253" spans="6:6" x14ac:dyDescent="0.25">
      <c r="F1253" s="1" t="s">
        <v>811</v>
      </c>
    </row>
    <row r="1254" spans="6:6" x14ac:dyDescent="0.25">
      <c r="F1254" s="1" t="s">
        <v>661</v>
      </c>
    </row>
    <row r="1255" spans="6:6" x14ac:dyDescent="0.25">
      <c r="F1255" s="1" t="s">
        <v>676</v>
      </c>
    </row>
    <row r="1256" spans="6:6" x14ac:dyDescent="0.25">
      <c r="F1256" s="1" t="s">
        <v>674</v>
      </c>
    </row>
    <row r="1257" spans="6:6" x14ac:dyDescent="0.25">
      <c r="F1257" s="1" t="s">
        <v>511</v>
      </c>
    </row>
    <row r="1258" spans="6:6" x14ac:dyDescent="0.25">
      <c r="F1258" s="1" t="s">
        <v>1974</v>
      </c>
    </row>
    <row r="1259" spans="6:6" x14ac:dyDescent="0.25">
      <c r="F1259" s="1" t="s">
        <v>2130</v>
      </c>
    </row>
    <row r="1260" spans="6:6" x14ac:dyDescent="0.25">
      <c r="F1260" s="1" t="s">
        <v>1998</v>
      </c>
    </row>
    <row r="1261" spans="6:6" x14ac:dyDescent="0.25">
      <c r="F1261" s="1" t="s">
        <v>1993</v>
      </c>
    </row>
    <row r="1262" spans="6:6" x14ac:dyDescent="0.25">
      <c r="F1262" s="1" t="s">
        <v>1994</v>
      </c>
    </row>
    <row r="1263" spans="6:6" x14ac:dyDescent="0.25">
      <c r="F1263" s="1" t="s">
        <v>1988</v>
      </c>
    </row>
    <row r="1264" spans="6:6" x14ac:dyDescent="0.25">
      <c r="F1264" s="1" t="s">
        <v>2137</v>
      </c>
    </row>
    <row r="1265" spans="6:6" x14ac:dyDescent="0.25">
      <c r="F1265" s="1" t="s">
        <v>1958</v>
      </c>
    </row>
    <row r="1266" spans="6:6" x14ac:dyDescent="0.25">
      <c r="F1266" s="1" t="s">
        <v>1950</v>
      </c>
    </row>
    <row r="1267" spans="6:6" x14ac:dyDescent="0.25">
      <c r="F1267" s="1" t="s">
        <v>1944</v>
      </c>
    </row>
    <row r="1268" spans="6:6" x14ac:dyDescent="0.25">
      <c r="F1268" s="1" t="s">
        <v>2085</v>
      </c>
    </row>
    <row r="1269" spans="6:6" x14ac:dyDescent="0.25">
      <c r="F1269" s="1" t="s">
        <v>2381</v>
      </c>
    </row>
    <row r="1270" spans="6:6" x14ac:dyDescent="0.25">
      <c r="F1270" s="1" t="s">
        <v>786</v>
      </c>
    </row>
    <row r="1271" spans="6:6" x14ac:dyDescent="0.25">
      <c r="F1271" s="1" t="s">
        <v>1724</v>
      </c>
    </row>
    <row r="1272" spans="6:6" x14ac:dyDescent="0.25">
      <c r="F1272" s="1" t="s">
        <v>864</v>
      </c>
    </row>
    <row r="1273" spans="6:6" x14ac:dyDescent="0.25">
      <c r="F1273" s="1" t="s">
        <v>790</v>
      </c>
    </row>
    <row r="1274" spans="6:6" x14ac:dyDescent="0.25">
      <c r="F1274" s="1" t="s">
        <v>1728</v>
      </c>
    </row>
    <row r="1275" spans="6:6" x14ac:dyDescent="0.25">
      <c r="F1275" s="1" t="s">
        <v>744</v>
      </c>
    </row>
    <row r="1276" spans="6:6" x14ac:dyDescent="0.25">
      <c r="F1276" s="1" t="s">
        <v>1722</v>
      </c>
    </row>
    <row r="1277" spans="6:6" x14ac:dyDescent="0.25">
      <c r="F1277" s="1" t="s">
        <v>985</v>
      </c>
    </row>
    <row r="1278" spans="6:6" x14ac:dyDescent="0.25">
      <c r="F1278" s="1" t="s">
        <v>2067</v>
      </c>
    </row>
    <row r="1279" spans="6:6" x14ac:dyDescent="0.25">
      <c r="F1279" s="1" t="s">
        <v>2242</v>
      </c>
    </row>
    <row r="1280" spans="6:6" x14ac:dyDescent="0.25">
      <c r="F1280" s="1" t="s">
        <v>2411</v>
      </c>
    </row>
    <row r="1281" spans="6:6" x14ac:dyDescent="0.25">
      <c r="F1281" s="1" t="s">
        <v>2449</v>
      </c>
    </row>
    <row r="1282" spans="6:6" x14ac:dyDescent="0.25">
      <c r="F1282" s="1" t="s">
        <v>2450</v>
      </c>
    </row>
    <row r="1283" spans="6:6" x14ac:dyDescent="0.25">
      <c r="F1283" s="1" t="s">
        <v>2456</v>
      </c>
    </row>
    <row r="1284" spans="6:6" x14ac:dyDescent="0.25">
      <c r="F1284" s="1" t="s">
        <v>2829</v>
      </c>
    </row>
    <row r="1285" spans="6:6" x14ac:dyDescent="0.25">
      <c r="F1285" s="1" t="s">
        <v>2480</v>
      </c>
    </row>
    <row r="1286" spans="6:6" x14ac:dyDescent="0.25">
      <c r="F1286" s="1" t="s">
        <v>2407</v>
      </c>
    </row>
    <row r="1287" spans="6:6" x14ac:dyDescent="0.25">
      <c r="F1287" s="1" t="s">
        <v>2132</v>
      </c>
    </row>
    <row r="1288" spans="6:6" x14ac:dyDescent="0.25">
      <c r="F1288" s="1" t="s">
        <v>2133</v>
      </c>
    </row>
    <row r="1289" spans="6:6" x14ac:dyDescent="0.25">
      <c r="F1289" s="1" t="s">
        <v>2470</v>
      </c>
    </row>
    <row r="1290" spans="6:6" x14ac:dyDescent="0.25">
      <c r="F1290" s="1" t="s">
        <v>2134</v>
      </c>
    </row>
    <row r="1291" spans="6:6" x14ac:dyDescent="0.25">
      <c r="F1291" s="1" t="s">
        <v>2343</v>
      </c>
    </row>
    <row r="1292" spans="6:6" x14ac:dyDescent="0.25">
      <c r="F1292" s="1" t="s">
        <v>1932</v>
      </c>
    </row>
    <row r="1293" spans="6:6" x14ac:dyDescent="0.25">
      <c r="F1293" s="1" t="s">
        <v>1933</v>
      </c>
    </row>
    <row r="1294" spans="6:6" x14ac:dyDescent="0.25">
      <c r="F1294" s="1" t="s">
        <v>2481</v>
      </c>
    </row>
    <row r="1295" spans="6:6" x14ac:dyDescent="0.25">
      <c r="F1295" s="1" t="s">
        <v>2030</v>
      </c>
    </row>
    <row r="1296" spans="6:6" x14ac:dyDescent="0.25">
      <c r="F1296" s="1" t="s">
        <v>2035</v>
      </c>
    </row>
    <row r="1297" spans="6:6" x14ac:dyDescent="0.25">
      <c r="F1297" s="1" t="s">
        <v>2408</v>
      </c>
    </row>
    <row r="1298" spans="6:6" x14ac:dyDescent="0.25">
      <c r="F1298" s="1" t="s">
        <v>2031</v>
      </c>
    </row>
    <row r="1299" spans="6:6" x14ac:dyDescent="0.25">
      <c r="F1299" s="1" t="s">
        <v>1953</v>
      </c>
    </row>
    <row r="1300" spans="6:6" x14ac:dyDescent="0.25">
      <c r="F1300" s="1" t="s">
        <v>581</v>
      </c>
    </row>
    <row r="1301" spans="6:6" x14ac:dyDescent="0.25">
      <c r="F1301" s="1" t="s">
        <v>570</v>
      </c>
    </row>
    <row r="1302" spans="6:6" x14ac:dyDescent="0.25">
      <c r="F1302" s="1" t="s">
        <v>582</v>
      </c>
    </row>
    <row r="1303" spans="6:6" x14ac:dyDescent="0.25">
      <c r="F1303" s="1" t="s">
        <v>580</v>
      </c>
    </row>
    <row r="1304" spans="6:6" x14ac:dyDescent="0.25">
      <c r="F1304" s="1" t="s">
        <v>1677</v>
      </c>
    </row>
    <row r="1305" spans="6:6" x14ac:dyDescent="0.25">
      <c r="F1305" s="1" t="s">
        <v>2394</v>
      </c>
    </row>
    <row r="1306" spans="6:6" x14ac:dyDescent="0.25">
      <c r="F1306" s="1" t="s">
        <v>599</v>
      </c>
    </row>
    <row r="1307" spans="6:6" x14ac:dyDescent="0.25">
      <c r="F1307" s="1" t="s">
        <v>1678</v>
      </c>
    </row>
    <row r="1308" spans="6:6" x14ac:dyDescent="0.25">
      <c r="F1308" s="1" t="s">
        <v>577</v>
      </c>
    </row>
    <row r="1309" spans="6:6" x14ac:dyDescent="0.25">
      <c r="F1309" s="1" t="s">
        <v>579</v>
      </c>
    </row>
    <row r="1310" spans="6:6" x14ac:dyDescent="0.25">
      <c r="F1310" s="1" t="s">
        <v>1801</v>
      </c>
    </row>
    <row r="1311" spans="6:6" x14ac:dyDescent="0.25">
      <c r="F1311" s="1" t="s">
        <v>2337</v>
      </c>
    </row>
    <row r="1312" spans="6:6" x14ac:dyDescent="0.25">
      <c r="F1312" s="1" t="s">
        <v>1795</v>
      </c>
    </row>
    <row r="1313" spans="6:6" x14ac:dyDescent="0.25">
      <c r="F1313" s="1" t="s">
        <v>1723</v>
      </c>
    </row>
    <row r="1314" spans="6:6" x14ac:dyDescent="0.25">
      <c r="F1314" s="1" t="s">
        <v>1838</v>
      </c>
    </row>
    <row r="1315" spans="6:6" x14ac:dyDescent="0.25">
      <c r="F1315" s="1" t="s">
        <v>1881</v>
      </c>
    </row>
    <row r="1316" spans="6:6" x14ac:dyDescent="0.25">
      <c r="F1316" s="1" t="s">
        <v>583</v>
      </c>
    </row>
    <row r="1317" spans="6:6" x14ac:dyDescent="0.25">
      <c r="F1317" s="1" t="s">
        <v>573</v>
      </c>
    </row>
    <row r="1318" spans="6:6" x14ac:dyDescent="0.25">
      <c r="F1318" s="1" t="s">
        <v>1789</v>
      </c>
    </row>
    <row r="1319" spans="6:6" x14ac:dyDescent="0.25">
      <c r="F1319" s="1" t="s">
        <v>2434</v>
      </c>
    </row>
    <row r="1320" spans="6:6" x14ac:dyDescent="0.25">
      <c r="F1320" s="1" t="s">
        <v>1701</v>
      </c>
    </row>
    <row r="1321" spans="6:6" x14ac:dyDescent="0.25">
      <c r="F1321" s="1" t="s">
        <v>778</v>
      </c>
    </row>
    <row r="1322" spans="6:6" x14ac:dyDescent="0.25">
      <c r="F1322" s="1" t="s">
        <v>2101</v>
      </c>
    </row>
    <row r="1323" spans="6:6" x14ac:dyDescent="0.25">
      <c r="F1323" s="1" t="s">
        <v>1730</v>
      </c>
    </row>
    <row r="1324" spans="6:6" x14ac:dyDescent="0.25">
      <c r="F1324" s="1" t="s">
        <v>2138</v>
      </c>
    </row>
    <row r="1325" spans="6:6" x14ac:dyDescent="0.25">
      <c r="F1325" s="1" t="s">
        <v>1866</v>
      </c>
    </row>
    <row r="1326" spans="6:6" x14ac:dyDescent="0.25">
      <c r="F1326" s="1" t="s">
        <v>1893</v>
      </c>
    </row>
    <row r="1327" spans="6:6" x14ac:dyDescent="0.25">
      <c r="F1327" s="1" t="s">
        <v>2188</v>
      </c>
    </row>
    <row r="1328" spans="6:6" x14ac:dyDescent="0.25">
      <c r="F1328" s="1" t="s">
        <v>1786</v>
      </c>
    </row>
    <row r="1329" spans="6:6" x14ac:dyDescent="0.25">
      <c r="F1329" s="1" t="s">
        <v>1635</v>
      </c>
    </row>
    <row r="1330" spans="6:6" x14ac:dyDescent="0.25">
      <c r="F1330" s="1" t="s">
        <v>1717</v>
      </c>
    </row>
    <row r="1331" spans="6:6" x14ac:dyDescent="0.25">
      <c r="F1331" s="1" t="s">
        <v>1482</v>
      </c>
    </row>
    <row r="1332" spans="6:6" x14ac:dyDescent="0.25">
      <c r="F1332" s="1" t="s">
        <v>1433</v>
      </c>
    </row>
    <row r="1333" spans="6:6" x14ac:dyDescent="0.25">
      <c r="F1333" s="1" t="s">
        <v>1481</v>
      </c>
    </row>
    <row r="1334" spans="6:6" x14ac:dyDescent="0.25">
      <c r="F1334" s="1" t="s">
        <v>1293</v>
      </c>
    </row>
    <row r="1335" spans="6:6" x14ac:dyDescent="0.25">
      <c r="F1335" s="1" t="s">
        <v>1292</v>
      </c>
    </row>
    <row r="1336" spans="6:6" x14ac:dyDescent="0.25">
      <c r="F1336" s="1" t="s">
        <v>2855</v>
      </c>
    </row>
    <row r="1337" spans="6:6" x14ac:dyDescent="0.25">
      <c r="F1337" s="1" t="s">
        <v>2606</v>
      </c>
    </row>
    <row r="1338" spans="6:6" x14ac:dyDescent="0.25">
      <c r="F1338" s="1" t="s">
        <v>183</v>
      </c>
    </row>
    <row r="1339" spans="6:6" x14ac:dyDescent="0.25">
      <c r="F1339" s="1" t="s">
        <v>184</v>
      </c>
    </row>
    <row r="1340" spans="6:6" x14ac:dyDescent="0.25">
      <c r="F1340" s="1" t="s">
        <v>432</v>
      </c>
    </row>
    <row r="1341" spans="6:6" x14ac:dyDescent="0.25">
      <c r="F1341" s="1" t="s">
        <v>185</v>
      </c>
    </row>
    <row r="1342" spans="6:6" x14ac:dyDescent="0.25">
      <c r="F1342" s="1" t="s">
        <v>2668</v>
      </c>
    </row>
    <row r="1343" spans="6:6" x14ac:dyDescent="0.25">
      <c r="F1343" s="1" t="s">
        <v>2815</v>
      </c>
    </row>
    <row r="1344" spans="6:6" x14ac:dyDescent="0.25">
      <c r="F1344" s="1" t="s">
        <v>471</v>
      </c>
    </row>
    <row r="1345" spans="6:6" x14ac:dyDescent="0.25">
      <c r="F1345" s="1" t="s">
        <v>537</v>
      </c>
    </row>
    <row r="1346" spans="6:6" x14ac:dyDescent="0.25">
      <c r="F1346" s="1" t="s">
        <v>1506</v>
      </c>
    </row>
    <row r="1347" spans="6:6" x14ac:dyDescent="0.25">
      <c r="F1347" s="1" t="s">
        <v>1507</v>
      </c>
    </row>
    <row r="1348" spans="6:6" x14ac:dyDescent="0.25">
      <c r="F1348" s="1" t="s">
        <v>1508</v>
      </c>
    </row>
    <row r="1349" spans="6:6" x14ac:dyDescent="0.25">
      <c r="F1349" s="1" t="s">
        <v>1503</v>
      </c>
    </row>
    <row r="1350" spans="6:6" x14ac:dyDescent="0.25">
      <c r="F1350" s="1" t="s">
        <v>1504</v>
      </c>
    </row>
    <row r="1351" spans="6:6" x14ac:dyDescent="0.25">
      <c r="F1351" s="1" t="s">
        <v>1405</v>
      </c>
    </row>
    <row r="1352" spans="6:6" x14ac:dyDescent="0.25">
      <c r="F1352" s="1" t="s">
        <v>1046</v>
      </c>
    </row>
    <row r="1353" spans="6:6" x14ac:dyDescent="0.25">
      <c r="F1353" s="1" t="s">
        <v>1406</v>
      </c>
    </row>
    <row r="1354" spans="6:6" x14ac:dyDescent="0.25">
      <c r="F1354" s="1" t="s">
        <v>1047</v>
      </c>
    </row>
    <row r="1355" spans="6:6" x14ac:dyDescent="0.25">
      <c r="F1355" s="1" t="s">
        <v>1407</v>
      </c>
    </row>
    <row r="1356" spans="6:6" x14ac:dyDescent="0.25">
      <c r="F1356" s="1" t="s">
        <v>592</v>
      </c>
    </row>
    <row r="1357" spans="6:6" x14ac:dyDescent="0.25">
      <c r="F1357" s="1" t="s">
        <v>1465</v>
      </c>
    </row>
    <row r="1358" spans="6:6" x14ac:dyDescent="0.25">
      <c r="F1358" s="1" t="s">
        <v>572</v>
      </c>
    </row>
    <row r="1359" spans="6:6" x14ac:dyDescent="0.25">
      <c r="F1359" s="1" t="s">
        <v>2247</v>
      </c>
    </row>
    <row r="1360" spans="6:6" x14ac:dyDescent="0.25">
      <c r="F1360" s="1" t="s">
        <v>1049</v>
      </c>
    </row>
    <row r="1361" spans="6:6" x14ac:dyDescent="0.25">
      <c r="F1361" s="1" t="s">
        <v>1505</v>
      </c>
    </row>
    <row r="1362" spans="6:6" x14ac:dyDescent="0.25">
      <c r="F1362" s="1" t="s">
        <v>1936</v>
      </c>
    </row>
    <row r="1363" spans="6:6" x14ac:dyDescent="0.25">
      <c r="F1363" s="1" t="s">
        <v>2342</v>
      </c>
    </row>
    <row r="1364" spans="6:6" x14ac:dyDescent="0.25">
      <c r="F1364" s="1" t="s">
        <v>2324</v>
      </c>
    </row>
    <row r="1365" spans="6:6" x14ac:dyDescent="0.25">
      <c r="F1365" s="1" t="s">
        <v>1024</v>
      </c>
    </row>
    <row r="1366" spans="6:6" x14ac:dyDescent="0.25">
      <c r="F1366" s="1" t="s">
        <v>2376</v>
      </c>
    </row>
    <row r="1367" spans="6:6" x14ac:dyDescent="0.25">
      <c r="F1367" s="1" t="s">
        <v>2395</v>
      </c>
    </row>
    <row r="1368" spans="6:6" x14ac:dyDescent="0.25">
      <c r="F1368" s="1" t="s">
        <v>1463</v>
      </c>
    </row>
    <row r="1369" spans="6:6" x14ac:dyDescent="0.25">
      <c r="F1369" s="1" t="s">
        <v>1659</v>
      </c>
    </row>
    <row r="1370" spans="6:6" x14ac:dyDescent="0.25">
      <c r="F1370" s="1" t="s">
        <v>1453</v>
      </c>
    </row>
    <row r="1371" spans="6:6" x14ac:dyDescent="0.25">
      <c r="F1371" s="1" t="s">
        <v>1419</v>
      </c>
    </row>
    <row r="1372" spans="6:6" x14ac:dyDescent="0.25">
      <c r="F1372" s="1" t="s">
        <v>1368</v>
      </c>
    </row>
    <row r="1373" spans="6:6" x14ac:dyDescent="0.25">
      <c r="F1373" s="1" t="s">
        <v>1450</v>
      </c>
    </row>
    <row r="1374" spans="6:6" x14ac:dyDescent="0.25">
      <c r="F1374" s="1" t="s">
        <v>1960</v>
      </c>
    </row>
    <row r="1375" spans="6:6" x14ac:dyDescent="0.25">
      <c r="F1375" s="1" t="s">
        <v>593</v>
      </c>
    </row>
    <row r="1376" spans="6:6" x14ac:dyDescent="0.25">
      <c r="F1376" s="1" t="s">
        <v>1691</v>
      </c>
    </row>
    <row r="1377" spans="6:6" x14ac:dyDescent="0.25">
      <c r="F1377" s="1" t="s">
        <v>1355</v>
      </c>
    </row>
    <row r="1378" spans="6:6" x14ac:dyDescent="0.25">
      <c r="F1378" s="1" t="s">
        <v>1356</v>
      </c>
    </row>
    <row r="1379" spans="6:6" x14ac:dyDescent="0.25">
      <c r="F1379" s="1" t="s">
        <v>1043</v>
      </c>
    </row>
    <row r="1380" spans="6:6" x14ac:dyDescent="0.25">
      <c r="F1380" s="1" t="s">
        <v>804</v>
      </c>
    </row>
    <row r="1381" spans="6:6" x14ac:dyDescent="0.25">
      <c r="F1381" s="1" t="s">
        <v>1885</v>
      </c>
    </row>
    <row r="1382" spans="6:6" x14ac:dyDescent="0.25">
      <c r="F1382" s="1" t="s">
        <v>2036</v>
      </c>
    </row>
    <row r="1383" spans="6:6" x14ac:dyDescent="0.25">
      <c r="F1383" s="1" t="s">
        <v>589</v>
      </c>
    </row>
    <row r="1384" spans="6:6" x14ac:dyDescent="0.25">
      <c r="F1384" s="1" t="s">
        <v>574</v>
      </c>
    </row>
    <row r="1385" spans="6:6" x14ac:dyDescent="0.25">
      <c r="F1385" s="1" t="s">
        <v>590</v>
      </c>
    </row>
    <row r="1386" spans="6:6" x14ac:dyDescent="0.25">
      <c r="F1386" s="1" t="s">
        <v>546</v>
      </c>
    </row>
    <row r="1387" spans="6:6" x14ac:dyDescent="0.25">
      <c r="F1387" s="1" t="s">
        <v>1684</v>
      </c>
    </row>
    <row r="1388" spans="6:6" x14ac:dyDescent="0.25">
      <c r="F1388" s="1" t="s">
        <v>1420</v>
      </c>
    </row>
    <row r="1389" spans="6:6" x14ac:dyDescent="0.25">
      <c r="F1389" s="1" t="s">
        <v>1787</v>
      </c>
    </row>
    <row r="1390" spans="6:6" x14ac:dyDescent="0.25">
      <c r="F1390" s="1" t="s">
        <v>1961</v>
      </c>
    </row>
    <row r="1391" spans="6:6" x14ac:dyDescent="0.25">
      <c r="F1391" s="1" t="s">
        <v>1981</v>
      </c>
    </row>
    <row r="1392" spans="6:6" x14ac:dyDescent="0.25">
      <c r="F1392" s="1" t="s">
        <v>2198</v>
      </c>
    </row>
    <row r="1393" spans="6:6" x14ac:dyDescent="0.25">
      <c r="F1393" s="1" t="s">
        <v>1408</v>
      </c>
    </row>
    <row r="1394" spans="6:6" x14ac:dyDescent="0.25">
      <c r="F1394" s="1" t="s">
        <v>1856</v>
      </c>
    </row>
    <row r="1395" spans="6:6" x14ac:dyDescent="0.25">
      <c r="F1395" s="1" t="s">
        <v>1409</v>
      </c>
    </row>
    <row r="1396" spans="6:6" x14ac:dyDescent="0.25">
      <c r="F1396" s="1" t="s">
        <v>2322</v>
      </c>
    </row>
    <row r="1397" spans="6:6" x14ac:dyDescent="0.25">
      <c r="F1397" s="1" t="s">
        <v>1985</v>
      </c>
    </row>
    <row r="1398" spans="6:6" x14ac:dyDescent="0.25">
      <c r="F1398" s="1" t="s">
        <v>538</v>
      </c>
    </row>
    <row r="1399" spans="6:6" x14ac:dyDescent="0.25">
      <c r="F1399" s="1" t="s">
        <v>1904</v>
      </c>
    </row>
    <row r="1400" spans="6:6" x14ac:dyDescent="0.25">
      <c r="F1400" s="1" t="s">
        <v>1884</v>
      </c>
    </row>
    <row r="1401" spans="6:6" x14ac:dyDescent="0.25">
      <c r="F1401" s="1" t="s">
        <v>647</v>
      </c>
    </row>
    <row r="1402" spans="6:6" x14ac:dyDescent="0.25">
      <c r="F1402" s="1" t="s">
        <v>193</v>
      </c>
    </row>
    <row r="1403" spans="6:6" x14ac:dyDescent="0.25">
      <c r="F1403" s="1" t="s">
        <v>194</v>
      </c>
    </row>
    <row r="1404" spans="6:6" x14ac:dyDescent="0.25">
      <c r="F1404" s="1" t="s">
        <v>351</v>
      </c>
    </row>
    <row r="1405" spans="6:6" x14ac:dyDescent="0.25">
      <c r="F1405" s="1" t="s">
        <v>216</v>
      </c>
    </row>
    <row r="1406" spans="6:6" x14ac:dyDescent="0.25">
      <c r="F1406" s="1" t="s">
        <v>217</v>
      </c>
    </row>
    <row r="1407" spans="6:6" x14ac:dyDescent="0.25">
      <c r="F1407" s="1" t="s">
        <v>1844</v>
      </c>
    </row>
    <row r="1408" spans="6:6" x14ac:dyDescent="0.25">
      <c r="F1408" s="1" t="s">
        <v>2830</v>
      </c>
    </row>
    <row r="1409" spans="6:6" x14ac:dyDescent="0.25">
      <c r="F1409" s="1" t="s">
        <v>224</v>
      </c>
    </row>
    <row r="1410" spans="6:6" x14ac:dyDescent="0.25">
      <c r="F1410" s="1" t="s">
        <v>218</v>
      </c>
    </row>
    <row r="1411" spans="6:6" x14ac:dyDescent="0.25">
      <c r="F1411" s="1" t="s">
        <v>219</v>
      </c>
    </row>
    <row r="1412" spans="6:6" x14ac:dyDescent="0.25">
      <c r="F1412" s="1" t="s">
        <v>220</v>
      </c>
    </row>
    <row r="1413" spans="6:6" x14ac:dyDescent="0.25">
      <c r="F1413" s="1" t="s">
        <v>221</v>
      </c>
    </row>
    <row r="1414" spans="6:6" x14ac:dyDescent="0.25">
      <c r="F1414" s="1" t="s">
        <v>222</v>
      </c>
    </row>
    <row r="1415" spans="6:6" x14ac:dyDescent="0.25">
      <c r="F1415" s="1" t="s">
        <v>2161</v>
      </c>
    </row>
    <row r="1416" spans="6:6" x14ac:dyDescent="0.25">
      <c r="F1416" s="1" t="s">
        <v>2092</v>
      </c>
    </row>
    <row r="1417" spans="6:6" x14ac:dyDescent="0.25">
      <c r="F1417" s="1" t="s">
        <v>2108</v>
      </c>
    </row>
    <row r="1418" spans="6:6" x14ac:dyDescent="0.25">
      <c r="F1418" s="1" t="s">
        <v>2109</v>
      </c>
    </row>
    <row r="1419" spans="6:6" x14ac:dyDescent="0.25">
      <c r="F1419" s="1" t="s">
        <v>2110</v>
      </c>
    </row>
    <row r="1420" spans="6:6" x14ac:dyDescent="0.25">
      <c r="F1420" s="1" t="s">
        <v>2191</v>
      </c>
    </row>
    <row r="1421" spans="6:6" x14ac:dyDescent="0.25">
      <c r="F1421" s="1" t="s">
        <v>2114</v>
      </c>
    </row>
    <row r="1422" spans="6:6" x14ac:dyDescent="0.25">
      <c r="F1422" s="1" t="s">
        <v>2441</v>
      </c>
    </row>
    <row r="1423" spans="6:6" x14ac:dyDescent="0.25">
      <c r="F1423" s="1" t="s">
        <v>240</v>
      </c>
    </row>
    <row r="1424" spans="6:6" x14ac:dyDescent="0.25">
      <c r="F1424" s="1" t="s">
        <v>2378</v>
      </c>
    </row>
    <row r="1425" spans="6:6" x14ac:dyDescent="0.25">
      <c r="F1425" s="1" t="s">
        <v>1466</v>
      </c>
    </row>
    <row r="1426" spans="6:6" x14ac:dyDescent="0.25">
      <c r="F1426" s="1" t="s">
        <v>1403</v>
      </c>
    </row>
    <row r="1427" spans="6:6" x14ac:dyDescent="0.25">
      <c r="F1427" s="1" t="s">
        <v>2153</v>
      </c>
    </row>
    <row r="1428" spans="6:6" x14ac:dyDescent="0.25">
      <c r="F1428" s="1" t="s">
        <v>2154</v>
      </c>
    </row>
    <row r="1429" spans="6:6" x14ac:dyDescent="0.25">
      <c r="F1429" s="1" t="s">
        <v>2155</v>
      </c>
    </row>
    <row r="1430" spans="6:6" x14ac:dyDescent="0.25">
      <c r="F1430" s="1" t="s">
        <v>2158</v>
      </c>
    </row>
    <row r="1431" spans="6:6" x14ac:dyDescent="0.25">
      <c r="F1431" s="1" t="s">
        <v>2156</v>
      </c>
    </row>
    <row r="1432" spans="6:6" x14ac:dyDescent="0.25">
      <c r="F1432" s="1" t="s">
        <v>2157</v>
      </c>
    </row>
    <row r="1433" spans="6:6" x14ac:dyDescent="0.25">
      <c r="F1433" s="1" t="s">
        <v>2375</v>
      </c>
    </row>
    <row r="1434" spans="6:6" x14ac:dyDescent="0.25">
      <c r="F1434" s="1" t="s">
        <v>1329</v>
      </c>
    </row>
    <row r="1435" spans="6:6" x14ac:dyDescent="0.25">
      <c r="F1435" s="1" t="s">
        <v>2345</v>
      </c>
    </row>
    <row r="1436" spans="6:6" x14ac:dyDescent="0.25">
      <c r="F1436" s="1" t="s">
        <v>2418</v>
      </c>
    </row>
    <row r="1437" spans="6:6" x14ac:dyDescent="0.25">
      <c r="F1437" s="1" t="s">
        <v>2380</v>
      </c>
    </row>
    <row r="1438" spans="6:6" x14ac:dyDescent="0.25">
      <c r="F1438" s="1" t="s">
        <v>2712</v>
      </c>
    </row>
    <row r="1439" spans="6:6" x14ac:dyDescent="0.25">
      <c r="F1439" s="1" t="s">
        <v>1180</v>
      </c>
    </row>
    <row r="1440" spans="6:6" x14ac:dyDescent="0.25">
      <c r="F1440" s="1" t="s">
        <v>2131</v>
      </c>
    </row>
    <row r="1441" spans="6:6" x14ac:dyDescent="0.25">
      <c r="F1441" s="1" t="s">
        <v>1397</v>
      </c>
    </row>
    <row r="1442" spans="6:6" x14ac:dyDescent="0.25">
      <c r="F1442" s="1" t="s">
        <v>2831</v>
      </c>
    </row>
    <row r="1443" spans="6:6" x14ac:dyDescent="0.25">
      <c r="F1443" s="1" t="s">
        <v>1947</v>
      </c>
    </row>
    <row r="1444" spans="6:6" x14ac:dyDescent="0.25">
      <c r="F1444" s="1" t="s">
        <v>2047</v>
      </c>
    </row>
    <row r="1445" spans="6:6" x14ac:dyDescent="0.25">
      <c r="F1445" s="1" t="s">
        <v>2048</v>
      </c>
    </row>
    <row r="1446" spans="6:6" x14ac:dyDescent="0.25">
      <c r="F1446" s="1" t="s">
        <v>2349</v>
      </c>
    </row>
    <row r="1447" spans="6:6" x14ac:dyDescent="0.25">
      <c r="F1447" s="1" t="s">
        <v>2371</v>
      </c>
    </row>
    <row r="1448" spans="6:6" x14ac:dyDescent="0.25">
      <c r="F1448" s="1" t="s">
        <v>1792</v>
      </c>
    </row>
    <row r="1449" spans="6:6" x14ac:dyDescent="0.25">
      <c r="F1449" s="1" t="s">
        <v>1631</v>
      </c>
    </row>
    <row r="1450" spans="6:6" x14ac:dyDescent="0.25">
      <c r="F1450" s="1" t="s">
        <v>612</v>
      </c>
    </row>
    <row r="1451" spans="6:6" x14ac:dyDescent="0.25">
      <c r="F1451" s="1" t="s">
        <v>614</v>
      </c>
    </row>
    <row r="1452" spans="6:6" x14ac:dyDescent="0.25">
      <c r="F1452" s="1" t="s">
        <v>2562</v>
      </c>
    </row>
    <row r="1453" spans="6:6" x14ac:dyDescent="0.25">
      <c r="F1453" s="1" t="s">
        <v>2518</v>
      </c>
    </row>
    <row r="1454" spans="6:6" x14ac:dyDescent="0.25">
      <c r="F1454" s="1" t="s">
        <v>2519</v>
      </c>
    </row>
    <row r="1455" spans="6:6" x14ac:dyDescent="0.25">
      <c r="F1455" s="1" t="s">
        <v>2508</v>
      </c>
    </row>
    <row r="1456" spans="6:6" x14ac:dyDescent="0.25">
      <c r="F1456" s="1" t="s">
        <v>2571</v>
      </c>
    </row>
    <row r="1457" spans="6:6" x14ac:dyDescent="0.25">
      <c r="F1457" s="1" t="s">
        <v>2403</v>
      </c>
    </row>
    <row r="1458" spans="6:6" x14ac:dyDescent="0.25">
      <c r="F1458" s="1" t="s">
        <v>2604</v>
      </c>
    </row>
    <row r="1459" spans="6:6" x14ac:dyDescent="0.25">
      <c r="F1459" s="1" t="s">
        <v>2526</v>
      </c>
    </row>
    <row r="1460" spans="6:6" x14ac:dyDescent="0.25">
      <c r="F1460" s="1" t="s">
        <v>2527</v>
      </c>
    </row>
    <row r="1461" spans="6:6" x14ac:dyDescent="0.25">
      <c r="F1461" s="1" t="s">
        <v>2189</v>
      </c>
    </row>
    <row r="1462" spans="6:6" x14ac:dyDescent="0.25">
      <c r="F1462" s="1" t="s">
        <v>237</v>
      </c>
    </row>
    <row r="1463" spans="6:6" x14ac:dyDescent="0.25">
      <c r="F1463" s="1" t="s">
        <v>348</v>
      </c>
    </row>
    <row r="1464" spans="6:6" x14ac:dyDescent="0.25">
      <c r="F1464" s="1" t="s">
        <v>364</v>
      </c>
    </row>
    <row r="1465" spans="6:6" x14ac:dyDescent="0.25">
      <c r="F1465" s="1" t="s">
        <v>137</v>
      </c>
    </row>
    <row r="1466" spans="6:6" x14ac:dyDescent="0.25">
      <c r="F1466" s="1" t="s">
        <v>138</v>
      </c>
    </row>
    <row r="1467" spans="6:6" x14ac:dyDescent="0.25">
      <c r="F1467" s="1" t="s">
        <v>139</v>
      </c>
    </row>
    <row r="1468" spans="6:6" x14ac:dyDescent="0.25">
      <c r="F1468" s="1" t="s">
        <v>363</v>
      </c>
    </row>
    <row r="1469" spans="6:6" x14ac:dyDescent="0.25">
      <c r="F1469" s="1" t="s">
        <v>140</v>
      </c>
    </row>
    <row r="1470" spans="6:6" x14ac:dyDescent="0.25">
      <c r="F1470" s="1" t="s">
        <v>141</v>
      </c>
    </row>
    <row r="1471" spans="6:6" x14ac:dyDescent="0.25">
      <c r="F1471" s="1" t="s">
        <v>142</v>
      </c>
    </row>
    <row r="1472" spans="6:6" x14ac:dyDescent="0.25">
      <c r="F1472" s="1" t="s">
        <v>143</v>
      </c>
    </row>
    <row r="1473" spans="6:6" x14ac:dyDescent="0.25">
      <c r="F1473" s="1" t="s">
        <v>227</v>
      </c>
    </row>
    <row r="1474" spans="6:6" x14ac:dyDescent="0.25">
      <c r="F1474" s="1" t="s">
        <v>1191</v>
      </c>
    </row>
    <row r="1475" spans="6:6" x14ac:dyDescent="0.25">
      <c r="F1475" s="1" t="s">
        <v>1797</v>
      </c>
    </row>
    <row r="1476" spans="6:6" x14ac:dyDescent="0.25">
      <c r="F1476" s="1" t="s">
        <v>1834</v>
      </c>
    </row>
    <row r="1477" spans="6:6" x14ac:dyDescent="0.25">
      <c r="F1477" s="1" t="s">
        <v>1811</v>
      </c>
    </row>
    <row r="1478" spans="6:6" x14ac:dyDescent="0.25">
      <c r="F1478" s="1" t="s">
        <v>1686</v>
      </c>
    </row>
    <row r="1479" spans="6:6" x14ac:dyDescent="0.25">
      <c r="F1479" s="1" t="s">
        <v>2199</v>
      </c>
    </row>
    <row r="1480" spans="6:6" x14ac:dyDescent="0.25">
      <c r="F1480" s="1" t="s">
        <v>1979</v>
      </c>
    </row>
    <row r="1481" spans="6:6" x14ac:dyDescent="0.25">
      <c r="F1481" s="1" t="s">
        <v>1975</v>
      </c>
    </row>
    <row r="1482" spans="6:6" x14ac:dyDescent="0.25">
      <c r="F1482" s="1" t="s">
        <v>1966</v>
      </c>
    </row>
    <row r="1483" spans="6:6" x14ac:dyDescent="0.25">
      <c r="F1483" s="1" t="s">
        <v>2573</v>
      </c>
    </row>
    <row r="1484" spans="6:6" x14ac:dyDescent="0.25">
      <c r="F1484" s="1" t="s">
        <v>2544</v>
      </c>
    </row>
    <row r="1485" spans="6:6" x14ac:dyDescent="0.25">
      <c r="F1485" s="1" t="s">
        <v>2717</v>
      </c>
    </row>
    <row r="1486" spans="6:6" x14ac:dyDescent="0.25">
      <c r="F1486" s="1" t="s">
        <v>2502</v>
      </c>
    </row>
    <row r="1487" spans="6:6" x14ac:dyDescent="0.25">
      <c r="F1487" s="1" t="s">
        <v>39</v>
      </c>
    </row>
    <row r="1488" spans="6:6" x14ac:dyDescent="0.25">
      <c r="F1488" s="1" t="s">
        <v>2327</v>
      </c>
    </row>
    <row r="1489" spans="6:6" x14ac:dyDescent="0.25">
      <c r="F1489" s="1" t="s">
        <v>1544</v>
      </c>
    </row>
    <row r="1490" spans="6:6" x14ac:dyDescent="0.25">
      <c r="F1490" s="1" t="s">
        <v>1725</v>
      </c>
    </row>
    <row r="1491" spans="6:6" x14ac:dyDescent="0.25">
      <c r="F1491" s="1" t="s">
        <v>1251</v>
      </c>
    </row>
    <row r="1492" spans="6:6" x14ac:dyDescent="0.25">
      <c r="F1492" s="1" t="s">
        <v>2325</v>
      </c>
    </row>
    <row r="1493" spans="6:6" x14ac:dyDescent="0.25">
      <c r="F1493" s="1" t="s">
        <v>1115</v>
      </c>
    </row>
    <row r="1494" spans="6:6" x14ac:dyDescent="0.25">
      <c r="F1494" s="1" t="s">
        <v>1721</v>
      </c>
    </row>
    <row r="1495" spans="6:6" x14ac:dyDescent="0.25">
      <c r="F1495" s="1" t="s">
        <v>1265</v>
      </c>
    </row>
    <row r="1496" spans="6:6" x14ac:dyDescent="0.25">
      <c r="F1496" s="1" t="s">
        <v>954</v>
      </c>
    </row>
    <row r="1497" spans="6:6" x14ac:dyDescent="0.25">
      <c r="F1497" s="1" t="s">
        <v>1719</v>
      </c>
    </row>
    <row r="1498" spans="6:6" x14ac:dyDescent="0.25">
      <c r="F1498" s="1" t="s">
        <v>1345</v>
      </c>
    </row>
    <row r="1499" spans="6:6" x14ac:dyDescent="0.25">
      <c r="F1499" s="1" t="s">
        <v>1203</v>
      </c>
    </row>
    <row r="1500" spans="6:6" x14ac:dyDescent="0.25">
      <c r="F1500" s="1" t="s">
        <v>1729</v>
      </c>
    </row>
    <row r="1501" spans="6:6" x14ac:dyDescent="0.25">
      <c r="F1501" s="1" t="s">
        <v>1934</v>
      </c>
    </row>
    <row r="1502" spans="6:6" x14ac:dyDescent="0.25">
      <c r="F1502" s="1" t="s">
        <v>25</v>
      </c>
    </row>
    <row r="1503" spans="6:6" x14ac:dyDescent="0.25">
      <c r="F1503" s="1" t="s">
        <v>26</v>
      </c>
    </row>
    <row r="1504" spans="6:6" x14ac:dyDescent="0.25">
      <c r="F1504" s="1" t="s">
        <v>24</v>
      </c>
    </row>
    <row r="1505" spans="6:6" x14ac:dyDescent="0.25">
      <c r="F1505" s="1" t="s">
        <v>242</v>
      </c>
    </row>
    <row r="1506" spans="6:6" x14ac:dyDescent="0.25">
      <c r="F1506" s="1" t="s">
        <v>243</v>
      </c>
    </row>
    <row r="1507" spans="6:6" x14ac:dyDescent="0.25">
      <c r="F1507" s="1" t="s">
        <v>244</v>
      </c>
    </row>
    <row r="1508" spans="6:6" x14ac:dyDescent="0.25">
      <c r="F1508" s="1" t="s">
        <v>245</v>
      </c>
    </row>
    <row r="1509" spans="6:6" x14ac:dyDescent="0.25">
      <c r="F1509" s="1" t="s">
        <v>2843</v>
      </c>
    </row>
    <row r="1510" spans="6:6" x14ac:dyDescent="0.25">
      <c r="F1510" s="1" t="s">
        <v>1540</v>
      </c>
    </row>
    <row r="1511" spans="6:6" x14ac:dyDescent="0.25">
      <c r="F1511" s="1" t="s">
        <v>1537</v>
      </c>
    </row>
    <row r="1512" spans="6:6" x14ac:dyDescent="0.25">
      <c r="F1512" s="1" t="s">
        <v>2669</v>
      </c>
    </row>
    <row r="1513" spans="6:6" x14ac:dyDescent="0.25">
      <c r="F1513" s="1" t="s">
        <v>2347</v>
      </c>
    </row>
    <row r="1514" spans="6:6" x14ac:dyDescent="0.25">
      <c r="F1514" s="1" t="s">
        <v>2682</v>
      </c>
    </row>
    <row r="1515" spans="6:6" x14ac:dyDescent="0.25">
      <c r="F1515" s="1" t="s">
        <v>2811</v>
      </c>
    </row>
    <row r="1516" spans="6:6" x14ac:dyDescent="0.25">
      <c r="F1516" s="1" t="s">
        <v>1666</v>
      </c>
    </row>
    <row r="1517" spans="6:6" x14ac:dyDescent="0.25">
      <c r="F1517" s="1" t="s">
        <v>1667</v>
      </c>
    </row>
    <row r="1518" spans="6:6" x14ac:dyDescent="0.25">
      <c r="F1518" s="1" t="s">
        <v>1762</v>
      </c>
    </row>
    <row r="1519" spans="6:6" x14ac:dyDescent="0.25">
      <c r="F1519" s="1" t="s">
        <v>2032</v>
      </c>
    </row>
    <row r="1520" spans="6:6" x14ac:dyDescent="0.25">
      <c r="F1520" s="1" t="s">
        <v>1536</v>
      </c>
    </row>
    <row r="1521" spans="6:6" x14ac:dyDescent="0.25">
      <c r="F1521" s="1" t="s">
        <v>1665</v>
      </c>
    </row>
    <row r="1522" spans="6:6" x14ac:dyDescent="0.25">
      <c r="F1522" s="1" t="s">
        <v>1236</v>
      </c>
    </row>
    <row r="1523" spans="6:6" x14ac:dyDescent="0.25">
      <c r="F1523" s="1" t="s">
        <v>1237</v>
      </c>
    </row>
    <row r="1524" spans="6:6" x14ac:dyDescent="0.25">
      <c r="F1524" s="1" t="s">
        <v>2301</v>
      </c>
    </row>
    <row r="1525" spans="6:6" x14ac:dyDescent="0.25">
      <c r="F1525" s="1" t="s">
        <v>1234</v>
      </c>
    </row>
    <row r="1526" spans="6:6" x14ac:dyDescent="0.25">
      <c r="F1526" s="1" t="s">
        <v>1235</v>
      </c>
    </row>
    <row r="1527" spans="6:6" x14ac:dyDescent="0.25">
      <c r="F1527" s="1" t="s">
        <v>1847</v>
      </c>
    </row>
    <row r="1528" spans="6:6" x14ac:dyDescent="0.25">
      <c r="F1528" s="1" t="s">
        <v>2436</v>
      </c>
    </row>
    <row r="1529" spans="6:6" x14ac:dyDescent="0.25">
      <c r="F1529" s="1" t="s">
        <v>2437</v>
      </c>
    </row>
    <row r="1530" spans="6:6" x14ac:dyDescent="0.25">
      <c r="F1530" s="1" t="s">
        <v>2835</v>
      </c>
    </row>
    <row r="1531" spans="6:6" x14ac:dyDescent="0.25">
      <c r="F1531" s="1" t="s">
        <v>2175</v>
      </c>
    </row>
    <row r="1532" spans="6:6" x14ac:dyDescent="0.25">
      <c r="F1532" s="1" t="s">
        <v>1233</v>
      </c>
    </row>
    <row r="1533" spans="6:6" x14ac:dyDescent="0.25">
      <c r="F1533" s="1" t="s">
        <v>1679</v>
      </c>
    </row>
    <row r="1534" spans="6:6" x14ac:dyDescent="0.25">
      <c r="F1534" s="1" t="s">
        <v>1225</v>
      </c>
    </row>
    <row r="1535" spans="6:6" x14ac:dyDescent="0.25">
      <c r="F1535" s="1" t="s">
        <v>1231</v>
      </c>
    </row>
    <row r="1536" spans="6:6" x14ac:dyDescent="0.25">
      <c r="F1536" s="1" t="s">
        <v>1228</v>
      </c>
    </row>
    <row r="1537" spans="6:6" x14ac:dyDescent="0.25">
      <c r="F1537" s="1" t="s">
        <v>1232</v>
      </c>
    </row>
    <row r="1538" spans="6:6" x14ac:dyDescent="0.25">
      <c r="F1538" s="1" t="s">
        <v>1230</v>
      </c>
    </row>
    <row r="1539" spans="6:6" x14ac:dyDescent="0.25">
      <c r="F1539" s="1" t="s">
        <v>1229</v>
      </c>
    </row>
    <row r="1540" spans="6:6" x14ac:dyDescent="0.25">
      <c r="F1540" s="1" t="s">
        <v>1183</v>
      </c>
    </row>
    <row r="1541" spans="6:6" x14ac:dyDescent="0.25">
      <c r="F1541" s="1" t="s">
        <v>1226</v>
      </c>
    </row>
    <row r="1542" spans="6:6" x14ac:dyDescent="0.25">
      <c r="F1542" s="1" t="s">
        <v>1227</v>
      </c>
    </row>
    <row r="1543" spans="6:6" x14ac:dyDescent="0.25">
      <c r="F1543" s="1" t="s">
        <v>1316</v>
      </c>
    </row>
    <row r="1544" spans="6:6" x14ac:dyDescent="0.25">
      <c r="F1544" s="1" t="s">
        <v>1319</v>
      </c>
    </row>
    <row r="1545" spans="6:6" x14ac:dyDescent="0.25">
      <c r="F1545" s="1" t="s">
        <v>2078</v>
      </c>
    </row>
    <row r="1546" spans="6:6" x14ac:dyDescent="0.25">
      <c r="F1546" s="1" t="s">
        <v>1545</v>
      </c>
    </row>
    <row r="1547" spans="6:6" x14ac:dyDescent="0.25">
      <c r="F1547" s="1" t="s">
        <v>724</v>
      </c>
    </row>
    <row r="1548" spans="6:6" x14ac:dyDescent="0.25">
      <c r="F1548" s="1" t="s">
        <v>725</v>
      </c>
    </row>
    <row r="1549" spans="6:6" x14ac:dyDescent="0.25">
      <c r="F1549" s="1" t="s">
        <v>1325</v>
      </c>
    </row>
    <row r="1550" spans="6:6" x14ac:dyDescent="0.25">
      <c r="F1550" s="1" t="s">
        <v>2073</v>
      </c>
    </row>
    <row r="1551" spans="6:6" x14ac:dyDescent="0.25">
      <c r="F1551" s="1" t="s">
        <v>2015</v>
      </c>
    </row>
    <row r="1552" spans="6:6" x14ac:dyDescent="0.25">
      <c r="F1552" s="1" t="s">
        <v>2075</v>
      </c>
    </row>
    <row r="1553" spans="6:6" x14ac:dyDescent="0.25">
      <c r="F1553" s="1" t="s">
        <v>1490</v>
      </c>
    </row>
    <row r="1554" spans="6:6" x14ac:dyDescent="0.25">
      <c r="F1554" s="1" t="s">
        <v>1250</v>
      </c>
    </row>
    <row r="1555" spans="6:6" x14ac:dyDescent="0.25">
      <c r="F1555" s="1" t="s">
        <v>2747</v>
      </c>
    </row>
    <row r="1556" spans="6:6" x14ac:dyDescent="0.25">
      <c r="F1556" s="1" t="s">
        <v>2074</v>
      </c>
    </row>
    <row r="1557" spans="6:6" x14ac:dyDescent="0.25">
      <c r="F1557" s="1" t="s">
        <v>2315</v>
      </c>
    </row>
    <row r="1558" spans="6:6" x14ac:dyDescent="0.25">
      <c r="F1558" s="1" t="s">
        <v>3159</v>
      </c>
    </row>
    <row r="1559" spans="6:6" x14ac:dyDescent="0.25">
      <c r="F1559" s="1" t="s">
        <v>609</v>
      </c>
    </row>
    <row r="1560" spans="6:6" x14ac:dyDescent="0.25">
      <c r="F1560" s="1" t="s">
        <v>514</v>
      </c>
    </row>
    <row r="1561" spans="6:6" x14ac:dyDescent="0.25">
      <c r="F1561" s="1" t="s">
        <v>467</v>
      </c>
    </row>
    <row r="1562" spans="6:6" x14ac:dyDescent="0.25">
      <c r="F1562" s="1" t="s">
        <v>468</v>
      </c>
    </row>
    <row r="1563" spans="6:6" x14ac:dyDescent="0.25">
      <c r="F1563" s="1" t="s">
        <v>469</v>
      </c>
    </row>
    <row r="1564" spans="6:6" x14ac:dyDescent="0.25">
      <c r="F1564" s="1" t="s">
        <v>465</v>
      </c>
    </row>
    <row r="1565" spans="6:6" x14ac:dyDescent="0.25">
      <c r="F1565" s="1" t="s">
        <v>490</v>
      </c>
    </row>
    <row r="1566" spans="6:6" x14ac:dyDescent="0.25">
      <c r="F1566" s="1" t="s">
        <v>491</v>
      </c>
    </row>
    <row r="1567" spans="6:6" x14ac:dyDescent="0.25">
      <c r="F1567" s="1" t="s">
        <v>1458</v>
      </c>
    </row>
    <row r="1568" spans="6:6" x14ac:dyDescent="0.25">
      <c r="F1568" s="1" t="s">
        <v>2344</v>
      </c>
    </row>
    <row r="1569" spans="6:6" x14ac:dyDescent="0.25">
      <c r="F1569" s="1" t="s">
        <v>1392</v>
      </c>
    </row>
    <row r="1570" spans="6:6" x14ac:dyDescent="0.25">
      <c r="F1570" s="1" t="s">
        <v>1381</v>
      </c>
    </row>
    <row r="1571" spans="6:6" x14ac:dyDescent="0.25">
      <c r="F1571" s="1" t="s">
        <v>1421</v>
      </c>
    </row>
    <row r="1572" spans="6:6" x14ac:dyDescent="0.25">
      <c r="F1572" s="1" t="s">
        <v>1382</v>
      </c>
    </row>
    <row r="1573" spans="6:6" x14ac:dyDescent="0.25">
      <c r="F1573" s="1" t="s">
        <v>428</v>
      </c>
    </row>
    <row r="1574" spans="6:6" x14ac:dyDescent="0.25">
      <c r="F1574" s="1" t="s">
        <v>186</v>
      </c>
    </row>
    <row r="1575" spans="6:6" x14ac:dyDescent="0.25">
      <c r="F1575" s="1" t="s">
        <v>340</v>
      </c>
    </row>
    <row r="1576" spans="6:6" x14ac:dyDescent="0.25">
      <c r="F1576" s="1" t="s">
        <v>2442</v>
      </c>
    </row>
    <row r="1577" spans="6:6" x14ac:dyDescent="0.25">
      <c r="F1577" s="1" t="s">
        <v>187</v>
      </c>
    </row>
    <row r="1578" spans="6:6" x14ac:dyDescent="0.25">
      <c r="F1578" s="1" t="s">
        <v>188</v>
      </c>
    </row>
    <row r="1579" spans="6:6" x14ac:dyDescent="0.25">
      <c r="F1579" s="1" t="s">
        <v>189</v>
      </c>
    </row>
    <row r="1580" spans="6:6" x14ac:dyDescent="0.25">
      <c r="F1580" s="1" t="s">
        <v>190</v>
      </c>
    </row>
    <row r="1581" spans="6:6" x14ac:dyDescent="0.25">
      <c r="F1581" s="1" t="s">
        <v>191</v>
      </c>
    </row>
    <row r="1582" spans="6:6" x14ac:dyDescent="0.25">
      <c r="F1582" s="1" t="s">
        <v>192</v>
      </c>
    </row>
    <row r="1583" spans="6:6" x14ac:dyDescent="0.25">
      <c r="F1583" s="1" t="s">
        <v>335</v>
      </c>
    </row>
    <row r="1584" spans="6:6" x14ac:dyDescent="0.25">
      <c r="F1584" s="1" t="s">
        <v>2384</v>
      </c>
    </row>
    <row r="1585" spans="6:6" x14ac:dyDescent="0.25">
      <c r="F1585" s="1" t="s">
        <v>37</v>
      </c>
    </row>
    <row r="1586" spans="6:6" x14ac:dyDescent="0.25">
      <c r="F1586" s="1" t="s">
        <v>246</v>
      </c>
    </row>
    <row r="1587" spans="6:6" x14ac:dyDescent="0.25">
      <c r="F1587" s="1" t="s">
        <v>247</v>
      </c>
    </row>
    <row r="1588" spans="6:6" x14ac:dyDescent="0.25">
      <c r="F1588" s="1" t="s">
        <v>473</v>
      </c>
    </row>
    <row r="1589" spans="6:6" x14ac:dyDescent="0.25">
      <c r="F1589" s="1" t="s">
        <v>446</v>
      </c>
    </row>
    <row r="1590" spans="6:6" x14ac:dyDescent="0.25">
      <c r="F1590" s="1" t="s">
        <v>2467</v>
      </c>
    </row>
    <row r="1591" spans="6:6" x14ac:dyDescent="0.25">
      <c r="F1591" s="1" t="s">
        <v>384</v>
      </c>
    </row>
    <row r="1592" spans="6:6" x14ac:dyDescent="0.25">
      <c r="F1592" s="1" t="s">
        <v>775</v>
      </c>
    </row>
    <row r="1593" spans="6:6" x14ac:dyDescent="0.25">
      <c r="F1593" s="1" t="s">
        <v>248</v>
      </c>
    </row>
    <row r="1594" spans="6:6" x14ac:dyDescent="0.25">
      <c r="F1594" s="1" t="s">
        <v>1707</v>
      </c>
    </row>
    <row r="1595" spans="6:6" x14ac:dyDescent="0.25">
      <c r="F1595" s="1" t="s">
        <v>250</v>
      </c>
    </row>
    <row r="1596" spans="6:6" x14ac:dyDescent="0.25">
      <c r="F1596" s="1" t="s">
        <v>249</v>
      </c>
    </row>
    <row r="1597" spans="6:6" x14ac:dyDescent="0.25">
      <c r="F1597" s="1" t="s">
        <v>2592</v>
      </c>
    </row>
    <row r="1598" spans="6:6" x14ac:dyDescent="0.25">
      <c r="F1598" s="1" t="s">
        <v>2536</v>
      </c>
    </row>
    <row r="1599" spans="6:6" x14ac:dyDescent="0.25">
      <c r="F1599" s="1" t="s">
        <v>2586</v>
      </c>
    </row>
    <row r="1600" spans="6:6" x14ac:dyDescent="0.25">
      <c r="F1600" s="1" t="s">
        <v>2575</v>
      </c>
    </row>
    <row r="1601" spans="6:6" x14ac:dyDescent="0.25">
      <c r="F1601" s="1" t="s">
        <v>2577</v>
      </c>
    </row>
    <row r="1602" spans="6:6" x14ac:dyDescent="0.25">
      <c r="F1602" s="1" t="s">
        <v>2633</v>
      </c>
    </row>
    <row r="1603" spans="6:6" x14ac:dyDescent="0.25">
      <c r="F1603" s="1" t="s">
        <v>2676</v>
      </c>
    </row>
    <row r="1604" spans="6:6" x14ac:dyDescent="0.25">
      <c r="F1604" s="1" t="s">
        <v>2555</v>
      </c>
    </row>
    <row r="1605" spans="6:6" x14ac:dyDescent="0.25">
      <c r="F1605" s="1" t="s">
        <v>2714</v>
      </c>
    </row>
    <row r="1606" spans="6:6" x14ac:dyDescent="0.25">
      <c r="F1606" s="1" t="s">
        <v>2578</v>
      </c>
    </row>
    <row r="1607" spans="6:6" x14ac:dyDescent="0.25">
      <c r="F1607" s="1" t="s">
        <v>2683</v>
      </c>
    </row>
    <row r="1608" spans="6:6" x14ac:dyDescent="0.25">
      <c r="F1608" s="1" t="s">
        <v>277</v>
      </c>
    </row>
    <row r="1609" spans="6:6" x14ac:dyDescent="0.25">
      <c r="F1609" s="1" t="s">
        <v>279</v>
      </c>
    </row>
    <row r="1610" spans="6:6" x14ac:dyDescent="0.25">
      <c r="F1610" s="1" t="s">
        <v>278</v>
      </c>
    </row>
    <row r="1611" spans="6:6" x14ac:dyDescent="0.25">
      <c r="F1611" s="1" t="s">
        <v>281</v>
      </c>
    </row>
    <row r="1612" spans="6:6" x14ac:dyDescent="0.25">
      <c r="F1612" s="1" t="s">
        <v>280</v>
      </c>
    </row>
    <row r="1613" spans="6:6" x14ac:dyDescent="0.25">
      <c r="F1613" s="1" t="s">
        <v>282</v>
      </c>
    </row>
    <row r="1614" spans="6:6" x14ac:dyDescent="0.25">
      <c r="F1614" s="1" t="s">
        <v>283</v>
      </c>
    </row>
    <row r="1615" spans="6:6" x14ac:dyDescent="0.25">
      <c r="F1615" s="1" t="s">
        <v>35</v>
      </c>
    </row>
    <row r="1616" spans="6:6" x14ac:dyDescent="0.25">
      <c r="F1616" s="1" t="s">
        <v>345</v>
      </c>
    </row>
    <row r="1617" spans="6:6" x14ac:dyDescent="0.25">
      <c r="F1617" s="1" t="s">
        <v>238</v>
      </c>
    </row>
    <row r="1618" spans="6:6" x14ac:dyDescent="0.25">
      <c r="F1618" s="1" t="s">
        <v>346</v>
      </c>
    </row>
    <row r="1619" spans="6:6" x14ac:dyDescent="0.25">
      <c r="F1619" s="1" t="s">
        <v>347</v>
      </c>
    </row>
    <row r="1620" spans="6:6" x14ac:dyDescent="0.25">
      <c r="F1620" s="1" t="s">
        <v>239</v>
      </c>
    </row>
    <row r="1621" spans="6:6" x14ac:dyDescent="0.25">
      <c r="F1621" s="1" t="s">
        <v>395</v>
      </c>
    </row>
    <row r="1622" spans="6:6" x14ac:dyDescent="0.25">
      <c r="F1622" s="1" t="s">
        <v>285</v>
      </c>
    </row>
    <row r="1623" spans="6:6" x14ac:dyDescent="0.25">
      <c r="F1623" s="1" t="s">
        <v>286</v>
      </c>
    </row>
    <row r="1624" spans="6:6" x14ac:dyDescent="0.25">
      <c r="F1624" s="1" t="s">
        <v>287</v>
      </c>
    </row>
    <row r="1625" spans="6:6" x14ac:dyDescent="0.25">
      <c r="F1625" s="1" t="s">
        <v>2812</v>
      </c>
    </row>
    <row r="1626" spans="6:6" x14ac:dyDescent="0.25">
      <c r="F1626" s="1" t="s">
        <v>2781</v>
      </c>
    </row>
    <row r="1627" spans="6:6" x14ac:dyDescent="0.25">
      <c r="F1627" s="1" t="s">
        <v>2764</v>
      </c>
    </row>
    <row r="1628" spans="6:6" x14ac:dyDescent="0.25">
      <c r="F1628" s="1" t="s">
        <v>2653</v>
      </c>
    </row>
    <row r="1629" spans="6:6" x14ac:dyDescent="0.25">
      <c r="F1629" s="1" t="s">
        <v>2221</v>
      </c>
    </row>
    <row r="1630" spans="6:6" x14ac:dyDescent="0.25">
      <c r="F1630" s="1" t="s">
        <v>2140</v>
      </c>
    </row>
    <row r="1631" spans="6:6" x14ac:dyDescent="0.25">
      <c r="F1631" s="1" t="s">
        <v>2782</v>
      </c>
    </row>
    <row r="1632" spans="6:6" x14ac:dyDescent="0.25">
      <c r="F1632" s="1" t="s">
        <v>288</v>
      </c>
    </row>
    <row r="1633" spans="6:6" x14ac:dyDescent="0.25">
      <c r="F1633" s="1" t="s">
        <v>289</v>
      </c>
    </row>
    <row r="1634" spans="6:6" x14ac:dyDescent="0.25">
      <c r="F1634" s="1" t="s">
        <v>290</v>
      </c>
    </row>
    <row r="1635" spans="6:6" x14ac:dyDescent="0.25">
      <c r="F1635" s="1" t="s">
        <v>291</v>
      </c>
    </row>
    <row r="1636" spans="6:6" x14ac:dyDescent="0.25">
      <c r="F1636" s="1" t="s">
        <v>2066</v>
      </c>
    </row>
    <row r="1637" spans="6:6" x14ac:dyDescent="0.25">
      <c r="F1637" s="1" t="s">
        <v>1757</v>
      </c>
    </row>
    <row r="1638" spans="6:6" x14ac:dyDescent="0.25">
      <c r="F1638" s="1" t="s">
        <v>1744</v>
      </c>
    </row>
    <row r="1639" spans="6:6" x14ac:dyDescent="0.25">
      <c r="F1639" s="1" t="s">
        <v>1740</v>
      </c>
    </row>
    <row r="1640" spans="6:6" x14ac:dyDescent="0.25">
      <c r="F1640" s="1" t="s">
        <v>1741</v>
      </c>
    </row>
    <row r="1641" spans="6:6" x14ac:dyDescent="0.25">
      <c r="F1641" s="1" t="s">
        <v>2292</v>
      </c>
    </row>
    <row r="1642" spans="6:6" x14ac:dyDescent="0.25">
      <c r="F1642" s="1" t="s">
        <v>1868</v>
      </c>
    </row>
    <row r="1643" spans="6:6" x14ac:dyDescent="0.25">
      <c r="F1643" s="1" t="s">
        <v>2000</v>
      </c>
    </row>
    <row r="1644" spans="6:6" x14ac:dyDescent="0.25">
      <c r="F1644" s="1" t="s">
        <v>391</v>
      </c>
    </row>
    <row r="1645" spans="6:6" x14ac:dyDescent="0.25">
      <c r="F1645" s="1" t="s">
        <v>392</v>
      </c>
    </row>
    <row r="1646" spans="6:6" x14ac:dyDescent="0.25">
      <c r="F1646" s="1" t="s">
        <v>379</v>
      </c>
    </row>
    <row r="1647" spans="6:6" x14ac:dyDescent="0.25">
      <c r="F1647" s="1" t="s">
        <v>378</v>
      </c>
    </row>
    <row r="1648" spans="6:6" x14ac:dyDescent="0.25">
      <c r="F1648" s="1" t="s">
        <v>377</v>
      </c>
    </row>
    <row r="1649" spans="6:6" x14ac:dyDescent="0.25">
      <c r="F1649" s="1" t="s">
        <v>472</v>
      </c>
    </row>
    <row r="1650" spans="6:6" x14ac:dyDescent="0.25">
      <c r="F1650" s="1" t="s">
        <v>45</v>
      </c>
    </row>
    <row r="1651" spans="6:6" x14ac:dyDescent="0.25">
      <c r="F1651" s="1" t="s">
        <v>42</v>
      </c>
    </row>
    <row r="1652" spans="6:6" x14ac:dyDescent="0.25">
      <c r="F1652" s="1" t="s">
        <v>410</v>
      </c>
    </row>
    <row r="1653" spans="6:6" x14ac:dyDescent="0.25">
      <c r="F1653" s="1" t="s">
        <v>251</v>
      </c>
    </row>
    <row r="1654" spans="6:6" x14ac:dyDescent="0.25">
      <c r="F1654" s="1" t="s">
        <v>252</v>
      </c>
    </row>
    <row r="1655" spans="6:6" x14ac:dyDescent="0.25">
      <c r="F1655" s="1" t="s">
        <v>253</v>
      </c>
    </row>
    <row r="1656" spans="6:6" x14ac:dyDescent="0.25">
      <c r="F1656" s="1" t="s">
        <v>411</v>
      </c>
    </row>
    <row r="1657" spans="6:6" x14ac:dyDescent="0.25">
      <c r="F1657" s="1" t="s">
        <v>412</v>
      </c>
    </row>
    <row r="1658" spans="6:6" x14ac:dyDescent="0.25">
      <c r="F1658" s="1" t="s">
        <v>254</v>
      </c>
    </row>
    <row r="1659" spans="6:6" x14ac:dyDescent="0.25">
      <c r="F1659" s="1" t="s">
        <v>256</v>
      </c>
    </row>
    <row r="1660" spans="6:6" x14ac:dyDescent="0.25">
      <c r="F1660" s="1" t="s">
        <v>257</v>
      </c>
    </row>
    <row r="1661" spans="6:6" x14ac:dyDescent="0.25">
      <c r="F1661" s="1" t="s">
        <v>258</v>
      </c>
    </row>
    <row r="1662" spans="6:6" x14ac:dyDescent="0.25">
      <c r="F1662" s="1" t="s">
        <v>259</v>
      </c>
    </row>
    <row r="1663" spans="6:6" x14ac:dyDescent="0.25">
      <c r="F1663" s="1" t="s">
        <v>260</v>
      </c>
    </row>
    <row r="1664" spans="6:6" x14ac:dyDescent="0.25">
      <c r="F1664" s="1" t="s">
        <v>261</v>
      </c>
    </row>
    <row r="1665" spans="6:6" x14ac:dyDescent="0.25">
      <c r="F1665" s="1" t="s">
        <v>262</v>
      </c>
    </row>
    <row r="1666" spans="6:6" x14ac:dyDescent="0.25">
      <c r="F1666" s="1" t="s">
        <v>263</v>
      </c>
    </row>
    <row r="1667" spans="6:6" x14ac:dyDescent="0.25">
      <c r="F1667" s="1" t="s">
        <v>264</v>
      </c>
    </row>
    <row r="1668" spans="6:6" x14ac:dyDescent="0.25">
      <c r="F1668" s="1" t="s">
        <v>422</v>
      </c>
    </row>
    <row r="1669" spans="6:6" x14ac:dyDescent="0.25">
      <c r="F1669" s="1" t="s">
        <v>265</v>
      </c>
    </row>
    <row r="1670" spans="6:6" x14ac:dyDescent="0.25">
      <c r="F1670" s="1" t="s">
        <v>266</v>
      </c>
    </row>
    <row r="1671" spans="6:6" x14ac:dyDescent="0.25">
      <c r="F1671" s="1" t="s">
        <v>368</v>
      </c>
    </row>
    <row r="1672" spans="6:6" x14ac:dyDescent="0.25">
      <c r="F1672" s="1" t="s">
        <v>267</v>
      </c>
    </row>
    <row r="1673" spans="6:6" x14ac:dyDescent="0.25">
      <c r="F1673" s="1" t="s">
        <v>337</v>
      </c>
    </row>
    <row r="1674" spans="6:6" x14ac:dyDescent="0.25">
      <c r="F1674" s="1" t="s">
        <v>268</v>
      </c>
    </row>
    <row r="1675" spans="6:6" x14ac:dyDescent="0.25">
      <c r="F1675" s="1" t="s">
        <v>269</v>
      </c>
    </row>
    <row r="1676" spans="6:6" x14ac:dyDescent="0.25">
      <c r="F1676" s="1" t="s">
        <v>270</v>
      </c>
    </row>
    <row r="1677" spans="6:6" x14ac:dyDescent="0.25">
      <c r="F1677" s="1" t="s">
        <v>271</v>
      </c>
    </row>
    <row r="1678" spans="6:6" x14ac:dyDescent="0.25">
      <c r="F1678" s="1" t="s">
        <v>272</v>
      </c>
    </row>
    <row r="1679" spans="6:6" x14ac:dyDescent="0.25">
      <c r="F1679" s="1" t="s">
        <v>274</v>
      </c>
    </row>
    <row r="1680" spans="6:6" x14ac:dyDescent="0.25">
      <c r="F1680" s="1" t="s">
        <v>275</v>
      </c>
    </row>
    <row r="1681" spans="6:6" x14ac:dyDescent="0.25">
      <c r="F1681" s="1" t="s">
        <v>276</v>
      </c>
    </row>
    <row r="1682" spans="6:6" x14ac:dyDescent="0.25">
      <c r="F1682" s="1" t="s">
        <v>359</v>
      </c>
    </row>
    <row r="1683" spans="6:6" x14ac:dyDescent="0.25">
      <c r="F1683" s="1" t="s">
        <v>32</v>
      </c>
    </row>
    <row r="1684" spans="6:6" x14ac:dyDescent="0.25">
      <c r="F1684" s="1" t="s">
        <v>542</v>
      </c>
    </row>
    <row r="1685" spans="6:6" x14ac:dyDescent="0.25">
      <c r="F1685" s="1" t="s">
        <v>399</v>
      </c>
    </row>
    <row r="1686" spans="6:6" x14ac:dyDescent="0.25">
      <c r="F1686" s="1" t="s">
        <v>223</v>
      </c>
    </row>
    <row r="1687" spans="6:6" x14ac:dyDescent="0.25">
      <c r="F1687" s="1" t="s">
        <v>225</v>
      </c>
    </row>
    <row r="1688" spans="6:6" x14ac:dyDescent="0.25">
      <c r="F1688" s="1" t="s">
        <v>293</v>
      </c>
    </row>
    <row r="1689" spans="6:6" x14ac:dyDescent="0.25">
      <c r="F1689" s="1" t="s">
        <v>295</v>
      </c>
    </row>
    <row r="1690" spans="6:6" x14ac:dyDescent="0.25">
      <c r="F1690" s="1" t="s">
        <v>296</v>
      </c>
    </row>
    <row r="1691" spans="6:6" x14ac:dyDescent="0.25">
      <c r="F1691" s="1" t="s">
        <v>2826</v>
      </c>
    </row>
    <row r="1692" spans="6:6" x14ac:dyDescent="0.25">
      <c r="F1692" s="1" t="s">
        <v>2827</v>
      </c>
    </row>
    <row r="1693" spans="6:6" x14ac:dyDescent="0.25">
      <c r="F1693" s="1" t="s">
        <v>1851</v>
      </c>
    </row>
    <row r="1694" spans="6:6" x14ac:dyDescent="0.25">
      <c r="F1694" s="1" t="s">
        <v>1852</v>
      </c>
    </row>
    <row r="1695" spans="6:6" x14ac:dyDescent="0.25">
      <c r="F1695" s="1" t="s">
        <v>1874</v>
      </c>
    </row>
    <row r="1696" spans="6:6" x14ac:dyDescent="0.25">
      <c r="F1696" s="1" t="s">
        <v>2504</v>
      </c>
    </row>
    <row r="1697" spans="6:6" x14ac:dyDescent="0.25">
      <c r="F1697" s="1" t="s">
        <v>1912</v>
      </c>
    </row>
    <row r="1698" spans="6:6" x14ac:dyDescent="0.25">
      <c r="F1698" s="1" t="s">
        <v>1911</v>
      </c>
    </row>
    <row r="1699" spans="6:6" x14ac:dyDescent="0.25">
      <c r="F1699" s="1" t="s">
        <v>2200</v>
      </c>
    </row>
    <row r="1700" spans="6:6" x14ac:dyDescent="0.25">
      <c r="F1700" s="1" t="s">
        <v>2112</v>
      </c>
    </row>
    <row r="1701" spans="6:6" x14ac:dyDescent="0.25">
      <c r="F1701" s="1" t="s">
        <v>2509</v>
      </c>
    </row>
    <row r="1702" spans="6:6" x14ac:dyDescent="0.25">
      <c r="F1702" s="1" t="s">
        <v>2670</v>
      </c>
    </row>
    <row r="1703" spans="6:6" x14ac:dyDescent="0.25">
      <c r="F1703" s="1" t="s">
        <v>1970</v>
      </c>
    </row>
    <row r="1704" spans="6:6" x14ac:dyDescent="0.25">
      <c r="F1704" s="1" t="s">
        <v>2122</v>
      </c>
    </row>
    <row r="1705" spans="6:6" x14ac:dyDescent="0.25">
      <c r="F1705" s="1" t="s">
        <v>434</v>
      </c>
    </row>
    <row r="1706" spans="6:6" x14ac:dyDescent="0.25">
      <c r="F1706" s="1" t="s">
        <v>294</v>
      </c>
    </row>
    <row r="1707" spans="6:6" x14ac:dyDescent="0.25">
      <c r="F1707" s="1" t="s">
        <v>2440</v>
      </c>
    </row>
    <row r="1708" spans="6:6" x14ac:dyDescent="0.25">
      <c r="F1708" s="1" t="s">
        <v>2341</v>
      </c>
    </row>
    <row r="1709" spans="6:6" x14ac:dyDescent="0.25">
      <c r="F1709" s="1" t="s">
        <v>297</v>
      </c>
    </row>
    <row r="1710" spans="6:6" x14ac:dyDescent="0.25">
      <c r="F1710" s="1" t="s">
        <v>298</v>
      </c>
    </row>
    <row r="1711" spans="6:6" x14ac:dyDescent="0.25">
      <c r="F1711" s="1" t="s">
        <v>1192</v>
      </c>
    </row>
    <row r="1712" spans="6:6" x14ac:dyDescent="0.25">
      <c r="F1712" s="1" t="s">
        <v>1193</v>
      </c>
    </row>
    <row r="1713" spans="6:6" x14ac:dyDescent="0.25">
      <c r="F1713" s="1" t="s">
        <v>1037</v>
      </c>
    </row>
    <row r="1714" spans="6:6" x14ac:dyDescent="0.25">
      <c r="F1714" s="1" t="s">
        <v>1324</v>
      </c>
    </row>
    <row r="1715" spans="6:6" x14ac:dyDescent="0.25">
      <c r="F1715" s="1" t="s">
        <v>2058</v>
      </c>
    </row>
    <row r="1716" spans="6:6" x14ac:dyDescent="0.25">
      <c r="F1716" s="1" t="s">
        <v>1117</v>
      </c>
    </row>
    <row r="1717" spans="6:6" x14ac:dyDescent="0.25">
      <c r="F1717" s="1" t="s">
        <v>1116</v>
      </c>
    </row>
    <row r="1718" spans="6:6" x14ac:dyDescent="0.25">
      <c r="F1718" s="1" t="s">
        <v>2059</v>
      </c>
    </row>
    <row r="1719" spans="6:6" x14ac:dyDescent="0.25">
      <c r="F1719" s="1" t="s">
        <v>920</v>
      </c>
    </row>
    <row r="1720" spans="6:6" x14ac:dyDescent="0.25">
      <c r="F1720" s="1" t="s">
        <v>944</v>
      </c>
    </row>
    <row r="1721" spans="6:6" x14ac:dyDescent="0.25">
      <c r="F1721" s="1" t="s">
        <v>931</v>
      </c>
    </row>
    <row r="1722" spans="6:6" x14ac:dyDescent="0.25">
      <c r="F1722" s="1" t="s">
        <v>896</v>
      </c>
    </row>
    <row r="1723" spans="6:6" x14ac:dyDescent="0.25">
      <c r="F1723" s="1" t="s">
        <v>2179</v>
      </c>
    </row>
    <row r="1724" spans="6:6" x14ac:dyDescent="0.25">
      <c r="F1724" s="1" t="s">
        <v>903</v>
      </c>
    </row>
    <row r="1725" spans="6:6" x14ac:dyDescent="0.25">
      <c r="F1725" s="1" t="s">
        <v>760</v>
      </c>
    </row>
    <row r="1726" spans="6:6" x14ac:dyDescent="0.25">
      <c r="F1726" s="1" t="s">
        <v>2046</v>
      </c>
    </row>
    <row r="1727" spans="6:6" x14ac:dyDescent="0.25">
      <c r="F1727" s="1" t="s">
        <v>1447</v>
      </c>
    </row>
    <row r="1728" spans="6:6" x14ac:dyDescent="0.25">
      <c r="F1728" s="1" t="s">
        <v>1552</v>
      </c>
    </row>
    <row r="1729" spans="6:6" x14ac:dyDescent="0.25">
      <c r="F1729" s="1" t="s">
        <v>1425</v>
      </c>
    </row>
    <row r="1730" spans="6:6" x14ac:dyDescent="0.25">
      <c r="F1730" s="1" t="s">
        <v>1553</v>
      </c>
    </row>
    <row r="1731" spans="6:6" x14ac:dyDescent="0.25">
      <c r="F1731" s="1" t="s">
        <v>1542</v>
      </c>
    </row>
    <row r="1732" spans="6:6" x14ac:dyDescent="0.25">
      <c r="F1732" s="1" t="s">
        <v>1410</v>
      </c>
    </row>
    <row r="1733" spans="6:6" x14ac:dyDescent="0.25">
      <c r="F1733" s="1" t="s">
        <v>1426</v>
      </c>
    </row>
    <row r="1734" spans="6:6" x14ac:dyDescent="0.25">
      <c r="F1734" s="1" t="s">
        <v>1449</v>
      </c>
    </row>
    <row r="1735" spans="6:6" x14ac:dyDescent="0.25">
      <c r="F1735" s="1" t="s">
        <v>1554</v>
      </c>
    </row>
    <row r="1736" spans="6:6" x14ac:dyDescent="0.25">
      <c r="F1736" s="1" t="s">
        <v>1283</v>
      </c>
    </row>
    <row r="1737" spans="6:6" x14ac:dyDescent="0.25">
      <c r="F1737" s="1" t="s">
        <v>1284</v>
      </c>
    </row>
    <row r="1738" spans="6:6" x14ac:dyDescent="0.25">
      <c r="F1738" s="1" t="s">
        <v>1427</v>
      </c>
    </row>
    <row r="1739" spans="6:6" x14ac:dyDescent="0.25">
      <c r="F1739" s="1" t="s">
        <v>1301</v>
      </c>
    </row>
    <row r="1740" spans="6:6" x14ac:dyDescent="0.25">
      <c r="F1740" s="1" t="s">
        <v>1556</v>
      </c>
    </row>
    <row r="1741" spans="6:6" x14ac:dyDescent="0.25">
      <c r="F1741" s="1" t="s">
        <v>1496</v>
      </c>
    </row>
    <row r="1742" spans="6:6" x14ac:dyDescent="0.25">
      <c r="F1742" s="1" t="s">
        <v>1529</v>
      </c>
    </row>
    <row r="1743" spans="6:6" x14ac:dyDescent="0.25">
      <c r="F1743" s="1" t="s">
        <v>1424</v>
      </c>
    </row>
    <row r="1744" spans="6:6" x14ac:dyDescent="0.25">
      <c r="F1744" s="1" t="s">
        <v>1550</v>
      </c>
    </row>
    <row r="1745" spans="6:6" x14ac:dyDescent="0.25">
      <c r="F1745" s="1" t="s">
        <v>1383</v>
      </c>
    </row>
    <row r="1746" spans="6:6" x14ac:dyDescent="0.25">
      <c r="F1746" s="1" t="s">
        <v>1280</v>
      </c>
    </row>
    <row r="1747" spans="6:6" x14ac:dyDescent="0.25">
      <c r="F1747" s="1" t="s">
        <v>1281</v>
      </c>
    </row>
    <row r="1748" spans="6:6" x14ac:dyDescent="0.25">
      <c r="F1748" s="1" t="s">
        <v>1384</v>
      </c>
    </row>
    <row r="1749" spans="6:6" x14ac:dyDescent="0.25">
      <c r="F1749" s="1" t="s">
        <v>1543</v>
      </c>
    </row>
    <row r="1750" spans="6:6" x14ac:dyDescent="0.25">
      <c r="F1750" s="1" t="s">
        <v>2360</v>
      </c>
    </row>
    <row r="1751" spans="6:6" x14ac:dyDescent="0.25">
      <c r="F1751" s="1" t="s">
        <v>762</v>
      </c>
    </row>
    <row r="1752" spans="6:6" x14ac:dyDescent="0.25">
      <c r="F1752" s="1" t="s">
        <v>1551</v>
      </c>
    </row>
    <row r="1753" spans="6:6" x14ac:dyDescent="0.25">
      <c r="F1753" s="1" t="s">
        <v>1632</v>
      </c>
    </row>
    <row r="1754" spans="6:6" x14ac:dyDescent="0.25">
      <c r="F1754" s="1" t="s">
        <v>1400</v>
      </c>
    </row>
    <row r="1755" spans="6:6" x14ac:dyDescent="0.25">
      <c r="F1755" s="1" t="s">
        <v>1401</v>
      </c>
    </row>
    <row r="1756" spans="6:6" x14ac:dyDescent="0.25">
      <c r="F1756" s="1" t="s">
        <v>1402</v>
      </c>
    </row>
    <row r="1757" spans="6:6" x14ac:dyDescent="0.25">
      <c r="F1757" s="1" t="s">
        <v>2685</v>
      </c>
    </row>
    <row r="1758" spans="6:6" x14ac:dyDescent="0.25">
      <c r="F1758" s="1" t="s">
        <v>1349</v>
      </c>
    </row>
    <row r="1759" spans="6:6" x14ac:dyDescent="0.25">
      <c r="F1759" s="1" t="s">
        <v>1547</v>
      </c>
    </row>
    <row r="1760" spans="6:6" x14ac:dyDescent="0.25">
      <c r="F1760" s="1" t="s">
        <v>1548</v>
      </c>
    </row>
    <row r="1761" spans="6:6" x14ac:dyDescent="0.25">
      <c r="F1761" s="1" t="s">
        <v>1336</v>
      </c>
    </row>
    <row r="1762" spans="6:6" x14ac:dyDescent="0.25">
      <c r="F1762" s="1" t="s">
        <v>1541</v>
      </c>
    </row>
    <row r="1763" spans="6:6" x14ac:dyDescent="0.25">
      <c r="F1763" s="1" t="s">
        <v>1806</v>
      </c>
    </row>
    <row r="1764" spans="6:6" x14ac:dyDescent="0.25">
      <c r="F1764" s="1" t="s">
        <v>1641</v>
      </c>
    </row>
    <row r="1765" spans="6:6" x14ac:dyDescent="0.25">
      <c r="F1765" s="1" t="s">
        <v>2799</v>
      </c>
    </row>
    <row r="1766" spans="6:6" x14ac:dyDescent="0.25">
      <c r="F1766" s="1" t="s">
        <v>1869</v>
      </c>
    </row>
    <row r="1767" spans="6:6" x14ac:dyDescent="0.25">
      <c r="F1767" s="1" t="s">
        <v>1385</v>
      </c>
    </row>
    <row r="1768" spans="6:6" x14ac:dyDescent="0.25">
      <c r="F1768" s="1" t="s">
        <v>1882</v>
      </c>
    </row>
    <row r="1769" spans="6:6" x14ac:dyDescent="0.25">
      <c r="F1769" s="1" t="s">
        <v>1929</v>
      </c>
    </row>
    <row r="1770" spans="6:6" x14ac:dyDescent="0.25">
      <c r="F1770" s="1" t="s">
        <v>1923</v>
      </c>
    </row>
    <row r="1771" spans="6:6" x14ac:dyDescent="0.25">
      <c r="F1771" s="1" t="s">
        <v>2319</v>
      </c>
    </row>
    <row r="1772" spans="6:6" x14ac:dyDescent="0.25">
      <c r="F1772" s="1" t="s">
        <v>1937</v>
      </c>
    </row>
    <row r="1773" spans="6:6" x14ac:dyDescent="0.25">
      <c r="F1773" s="1" t="s">
        <v>2126</v>
      </c>
    </row>
    <row r="1774" spans="6:6" x14ac:dyDescent="0.25">
      <c r="F1774" s="1" t="s">
        <v>1309</v>
      </c>
    </row>
    <row r="1775" spans="6:6" x14ac:dyDescent="0.25">
      <c r="F1775" s="1" t="s">
        <v>1275</v>
      </c>
    </row>
    <row r="1776" spans="6:6" x14ac:dyDescent="0.25">
      <c r="F1776" s="1" t="s">
        <v>1254</v>
      </c>
    </row>
    <row r="1777" spans="6:6" x14ac:dyDescent="0.25">
      <c r="F1777" s="1" t="s">
        <v>1255</v>
      </c>
    </row>
    <row r="1778" spans="6:6" x14ac:dyDescent="0.25">
      <c r="F1778" s="1" t="s">
        <v>1253</v>
      </c>
    </row>
    <row r="1779" spans="6:6" x14ac:dyDescent="0.25">
      <c r="F1779" s="1" t="s">
        <v>872</v>
      </c>
    </row>
    <row r="1780" spans="6:6" x14ac:dyDescent="0.25">
      <c r="F1780" s="1" t="s">
        <v>885</v>
      </c>
    </row>
    <row r="1781" spans="6:6" x14ac:dyDescent="0.25">
      <c r="F1781" s="1" t="s">
        <v>873</v>
      </c>
    </row>
    <row r="1782" spans="6:6" x14ac:dyDescent="0.25">
      <c r="F1782" s="1" t="s">
        <v>2069</v>
      </c>
    </row>
    <row r="1783" spans="6:6" x14ac:dyDescent="0.25">
      <c r="F1783" s="1" t="s">
        <v>1872</v>
      </c>
    </row>
    <row r="1784" spans="6:6" x14ac:dyDescent="0.25">
      <c r="F1784" s="1" t="s">
        <v>1517</v>
      </c>
    </row>
    <row r="1785" spans="6:6" x14ac:dyDescent="0.25">
      <c r="F1785" s="1" t="s">
        <v>2339</v>
      </c>
    </row>
    <row r="1786" spans="6:6" x14ac:dyDescent="0.25">
      <c r="F1786" s="1" t="s">
        <v>2438</v>
      </c>
    </row>
    <row r="1787" spans="6:6" x14ac:dyDescent="0.25">
      <c r="F1787" s="1" t="s">
        <v>2021</v>
      </c>
    </row>
    <row r="1788" spans="6:6" x14ac:dyDescent="0.25">
      <c r="F1788" s="1" t="s">
        <v>2733</v>
      </c>
    </row>
    <row r="1789" spans="6:6" x14ac:dyDescent="0.25">
      <c r="F1789" s="1" t="s">
        <v>2016</v>
      </c>
    </row>
    <row r="1790" spans="6:6" x14ac:dyDescent="0.25">
      <c r="F1790" s="1" t="s">
        <v>2352</v>
      </c>
    </row>
    <row r="1791" spans="6:6" x14ac:dyDescent="0.25">
      <c r="F1791" s="1" t="s">
        <v>1737</v>
      </c>
    </row>
    <row r="1792" spans="6:6" x14ac:dyDescent="0.25">
      <c r="F1792" s="1" t="s">
        <v>1938</v>
      </c>
    </row>
    <row r="1793" spans="6:6" x14ac:dyDescent="0.25">
      <c r="F1793" s="1" t="s">
        <v>963</v>
      </c>
    </row>
    <row r="1794" spans="6:6" x14ac:dyDescent="0.25">
      <c r="F1794" s="1" t="s">
        <v>2400</v>
      </c>
    </row>
    <row r="1795" spans="6:6" x14ac:dyDescent="0.25">
      <c r="F1795" s="1" t="s">
        <v>1291</v>
      </c>
    </row>
    <row r="1796" spans="6:6" x14ac:dyDescent="0.25">
      <c r="F1796" s="1" t="s">
        <v>1664</v>
      </c>
    </row>
    <row r="1797" spans="6:6" x14ac:dyDescent="0.25">
      <c r="F1797" s="1" t="s">
        <v>1393</v>
      </c>
    </row>
    <row r="1798" spans="6:6" x14ac:dyDescent="0.25">
      <c r="F1798" s="1" t="s">
        <v>1239</v>
      </c>
    </row>
    <row r="1799" spans="6:6" x14ac:dyDescent="0.25">
      <c r="F1799" s="1" t="s">
        <v>1532</v>
      </c>
    </row>
    <row r="1800" spans="6:6" x14ac:dyDescent="0.25">
      <c r="F1800" s="1" t="s">
        <v>1286</v>
      </c>
    </row>
    <row r="1801" spans="6:6" x14ac:dyDescent="0.25">
      <c r="F1801" s="1" t="s">
        <v>1276</v>
      </c>
    </row>
    <row r="1802" spans="6:6" x14ac:dyDescent="0.25">
      <c r="F1802" s="1" t="s">
        <v>1662</v>
      </c>
    </row>
    <row r="1803" spans="6:6" x14ac:dyDescent="0.25">
      <c r="F1803" s="1" t="s">
        <v>861</v>
      </c>
    </row>
    <row r="1804" spans="6:6" x14ac:dyDescent="0.25">
      <c r="F1804" s="1" t="s">
        <v>1470</v>
      </c>
    </row>
    <row r="1805" spans="6:6" x14ac:dyDescent="0.25">
      <c r="F1805" s="1" t="s">
        <v>1471</v>
      </c>
    </row>
    <row r="1806" spans="6:6" x14ac:dyDescent="0.25">
      <c r="F1806" s="1" t="s">
        <v>1472</v>
      </c>
    </row>
    <row r="1807" spans="6:6" x14ac:dyDescent="0.25">
      <c r="F1807" s="1" t="s">
        <v>1473</v>
      </c>
    </row>
    <row r="1808" spans="6:6" x14ac:dyDescent="0.25">
      <c r="F1808" s="1" t="s">
        <v>1474</v>
      </c>
    </row>
    <row r="1809" spans="6:6" x14ac:dyDescent="0.25">
      <c r="F1809" s="1" t="s">
        <v>1475</v>
      </c>
    </row>
    <row r="1810" spans="6:6" x14ac:dyDescent="0.25">
      <c r="F1810" s="1" t="s">
        <v>1476</v>
      </c>
    </row>
    <row r="1811" spans="6:6" x14ac:dyDescent="0.25">
      <c r="F1811" s="1" t="s">
        <v>1477</v>
      </c>
    </row>
    <row r="1812" spans="6:6" x14ac:dyDescent="0.25">
      <c r="F1812" s="1" t="s">
        <v>1478</v>
      </c>
    </row>
    <row r="1813" spans="6:6" x14ac:dyDescent="0.25">
      <c r="F1813" s="1" t="s">
        <v>1469</v>
      </c>
    </row>
    <row r="1814" spans="6:6" x14ac:dyDescent="0.25">
      <c r="F1814" s="1" t="s">
        <v>1663</v>
      </c>
    </row>
    <row r="1815" spans="6:6" x14ac:dyDescent="0.25">
      <c r="F1815" s="1" t="s">
        <v>829</v>
      </c>
    </row>
    <row r="1816" spans="6:6" x14ac:dyDescent="0.25">
      <c r="F1816" s="1" t="s">
        <v>1621</v>
      </c>
    </row>
    <row r="1817" spans="6:6" x14ac:dyDescent="0.25">
      <c r="F1817" s="1" t="s">
        <v>1924</v>
      </c>
    </row>
    <row r="1818" spans="6:6" x14ac:dyDescent="0.25">
      <c r="F1818" s="1" t="s">
        <v>1849</v>
      </c>
    </row>
    <row r="1819" spans="6:6" x14ac:dyDescent="0.25">
      <c r="F1819" s="1" t="s">
        <v>1858</v>
      </c>
    </row>
    <row r="1820" spans="6:6" x14ac:dyDescent="0.25">
      <c r="F1820" s="1" t="s">
        <v>2033</v>
      </c>
    </row>
    <row r="1821" spans="6:6" x14ac:dyDescent="0.25">
      <c r="F1821" s="1" t="s">
        <v>964</v>
      </c>
    </row>
    <row r="1822" spans="6:6" x14ac:dyDescent="0.25">
      <c r="F1822" s="1" t="s">
        <v>1268</v>
      </c>
    </row>
    <row r="1823" spans="6:6" x14ac:dyDescent="0.25">
      <c r="F1823" s="1" t="s">
        <v>1167</v>
      </c>
    </row>
    <row r="1824" spans="6:6" x14ac:dyDescent="0.25">
      <c r="F1824" s="1" t="s">
        <v>1267</v>
      </c>
    </row>
    <row r="1825" spans="6:6" x14ac:dyDescent="0.25">
      <c r="F1825" s="1" t="s">
        <v>791</v>
      </c>
    </row>
    <row r="1826" spans="6:6" x14ac:dyDescent="0.25">
      <c r="F1826" s="1" t="s">
        <v>1972</v>
      </c>
    </row>
    <row r="1827" spans="6:6" x14ac:dyDescent="0.25">
      <c r="F1827" s="1" t="s">
        <v>2004</v>
      </c>
    </row>
    <row r="1828" spans="6:6" x14ac:dyDescent="0.25">
      <c r="F1828" s="1" t="s">
        <v>2356</v>
      </c>
    </row>
    <row r="1829" spans="6:6" x14ac:dyDescent="0.25">
      <c r="F1829" s="1" t="s">
        <v>1760</v>
      </c>
    </row>
    <row r="1830" spans="6:6" x14ac:dyDescent="0.25">
      <c r="F1830" s="1" t="s">
        <v>741</v>
      </c>
    </row>
    <row r="1831" spans="6:6" x14ac:dyDescent="0.25">
      <c r="F1831" s="1" t="s">
        <v>965</v>
      </c>
    </row>
    <row r="1832" spans="6:6" x14ac:dyDescent="0.25">
      <c r="F1832" s="1" t="s">
        <v>746</v>
      </c>
    </row>
    <row r="1833" spans="6:6" x14ac:dyDescent="0.25">
      <c r="F1833" s="1" t="s">
        <v>886</v>
      </c>
    </row>
    <row r="1834" spans="6:6" x14ac:dyDescent="0.25">
      <c r="F1834" s="1" t="s">
        <v>887</v>
      </c>
    </row>
    <row r="1835" spans="6:6" x14ac:dyDescent="0.25">
      <c r="F1835" s="1" t="s">
        <v>888</v>
      </c>
    </row>
    <row r="1836" spans="6:6" x14ac:dyDescent="0.25">
      <c r="F1836" s="1" t="s">
        <v>784</v>
      </c>
    </row>
    <row r="1837" spans="6:6" x14ac:dyDescent="0.25">
      <c r="F1837" s="1" t="s">
        <v>785</v>
      </c>
    </row>
    <row r="1838" spans="6:6" x14ac:dyDescent="0.25">
      <c r="F1838" s="1" t="s">
        <v>404</v>
      </c>
    </row>
    <row r="1839" spans="6:6" x14ac:dyDescent="0.25">
      <c r="F1839" s="1" t="s">
        <v>403</v>
      </c>
    </row>
    <row r="1840" spans="6:6" x14ac:dyDescent="0.25">
      <c r="F1840" s="1" t="s">
        <v>1638</v>
      </c>
    </row>
    <row r="1841" spans="6:6" x14ac:dyDescent="0.25">
      <c r="F1841" s="1" t="s">
        <v>1612</v>
      </c>
    </row>
    <row r="1842" spans="6:6" x14ac:dyDescent="0.25">
      <c r="F1842" s="1" t="s">
        <v>1431</v>
      </c>
    </row>
    <row r="1843" spans="6:6" x14ac:dyDescent="0.25">
      <c r="F1843" s="1" t="s">
        <v>544</v>
      </c>
    </row>
    <row r="1844" spans="6:6" x14ac:dyDescent="0.25">
      <c r="F1844" s="1" t="s">
        <v>1785</v>
      </c>
    </row>
    <row r="1845" spans="6:6" x14ac:dyDescent="0.25">
      <c r="F1845" s="1" t="s">
        <v>380</v>
      </c>
    </row>
    <row r="1846" spans="6:6" x14ac:dyDescent="0.25">
      <c r="F1846" s="1" t="s">
        <v>1152</v>
      </c>
    </row>
    <row r="1847" spans="6:6" x14ac:dyDescent="0.25">
      <c r="F1847" s="1" t="s">
        <v>3494</v>
      </c>
    </row>
    <row r="1848" spans="6:6" x14ac:dyDescent="0.25">
      <c r="F1848" s="1" t="s">
        <v>2141</v>
      </c>
    </row>
    <row r="1849" spans="6:6" x14ac:dyDescent="0.25">
      <c r="F1849" s="1" t="s">
        <v>299</v>
      </c>
    </row>
    <row r="1850" spans="6:6" x14ac:dyDescent="0.25">
      <c r="F1850" s="1" t="s">
        <v>1982</v>
      </c>
    </row>
    <row r="1851" spans="6:6" x14ac:dyDescent="0.25">
      <c r="F1851" s="1" t="s">
        <v>891</v>
      </c>
    </row>
    <row r="1852" spans="6:6" x14ac:dyDescent="0.25">
      <c r="F1852" s="1" t="s">
        <v>897</v>
      </c>
    </row>
    <row r="1853" spans="6:6" x14ac:dyDescent="0.25">
      <c r="F1853" s="1" t="s">
        <v>902</v>
      </c>
    </row>
    <row r="1854" spans="6:6" x14ac:dyDescent="0.25">
      <c r="F1854" s="1" t="s">
        <v>957</v>
      </c>
    </row>
    <row r="1855" spans="6:6" x14ac:dyDescent="0.25">
      <c r="F1855" s="1" t="s">
        <v>958</v>
      </c>
    </row>
    <row r="1856" spans="6:6" x14ac:dyDescent="0.25">
      <c r="F1856" s="1" t="s">
        <v>767</v>
      </c>
    </row>
    <row r="1857" spans="6:6" x14ac:dyDescent="0.25">
      <c r="F1857" s="1" t="s">
        <v>980</v>
      </c>
    </row>
    <row r="1858" spans="6:6" x14ac:dyDescent="0.25">
      <c r="F1858" s="1" t="s">
        <v>833</v>
      </c>
    </row>
    <row r="1859" spans="6:6" x14ac:dyDescent="0.25">
      <c r="F1859" s="1" t="s">
        <v>656</v>
      </c>
    </row>
    <row r="1860" spans="6:6" x14ac:dyDescent="0.25">
      <c r="F1860" s="1" t="s">
        <v>952</v>
      </c>
    </row>
    <row r="1861" spans="6:6" x14ac:dyDescent="0.25">
      <c r="F1861" s="1" t="s">
        <v>863</v>
      </c>
    </row>
    <row r="1862" spans="6:6" x14ac:dyDescent="0.25">
      <c r="F1862" s="1" t="s">
        <v>652</v>
      </c>
    </row>
    <row r="1863" spans="6:6" x14ac:dyDescent="0.25">
      <c r="F1863" s="1" t="s">
        <v>651</v>
      </c>
    </row>
    <row r="1864" spans="6:6" x14ac:dyDescent="0.25">
      <c r="F1864" s="1" t="s">
        <v>657</v>
      </c>
    </row>
    <row r="1865" spans="6:6" x14ac:dyDescent="0.25">
      <c r="F1865" s="1" t="s">
        <v>870</v>
      </c>
    </row>
    <row r="1866" spans="6:6" x14ac:dyDescent="0.25">
      <c r="F1866" s="1" t="s">
        <v>658</v>
      </c>
    </row>
    <row r="1867" spans="6:6" x14ac:dyDescent="0.25">
      <c r="F1867" s="1" t="s">
        <v>643</v>
      </c>
    </row>
    <row r="1868" spans="6:6" x14ac:dyDescent="0.25">
      <c r="F1868" s="1" t="s">
        <v>600</v>
      </c>
    </row>
    <row r="1869" spans="6:6" x14ac:dyDescent="0.25">
      <c r="F1869" s="1" t="s">
        <v>644</v>
      </c>
    </row>
    <row r="1870" spans="6:6" x14ac:dyDescent="0.25">
      <c r="F1870" s="1" t="s">
        <v>636</v>
      </c>
    </row>
    <row r="1871" spans="6:6" x14ac:dyDescent="0.25">
      <c r="F1871" s="1" t="s">
        <v>645</v>
      </c>
    </row>
    <row r="1872" spans="6:6" x14ac:dyDescent="0.25">
      <c r="F1872" s="1" t="s">
        <v>654</v>
      </c>
    </row>
    <row r="1873" spans="6:6" x14ac:dyDescent="0.25">
      <c r="F1873" s="1" t="s">
        <v>653</v>
      </c>
    </row>
    <row r="1874" spans="6:6" x14ac:dyDescent="0.25">
      <c r="F1874" s="1" t="s">
        <v>655</v>
      </c>
    </row>
    <row r="1875" spans="6:6" x14ac:dyDescent="0.25">
      <c r="F1875" s="1" t="s">
        <v>646</v>
      </c>
    </row>
    <row r="1876" spans="6:6" x14ac:dyDescent="0.25">
      <c r="F1876" s="1" t="s">
        <v>1285</v>
      </c>
    </row>
    <row r="1877" spans="6:6" x14ac:dyDescent="0.25">
      <c r="F1877" s="1" t="s">
        <v>635</v>
      </c>
    </row>
    <row r="1878" spans="6:6" x14ac:dyDescent="0.25">
      <c r="F1878" s="1" t="s">
        <v>2383</v>
      </c>
    </row>
    <row r="1879" spans="6:6" x14ac:dyDescent="0.25">
      <c r="F1879" s="1" t="s">
        <v>2447</v>
      </c>
    </row>
    <row r="1880" spans="6:6" x14ac:dyDescent="0.25">
      <c r="F1880" s="1" t="s">
        <v>2351</v>
      </c>
    </row>
    <row r="1881" spans="6:6" x14ac:dyDescent="0.25">
      <c r="F1881" s="1" t="s">
        <v>2034</v>
      </c>
    </row>
    <row r="1882" spans="6:6" x14ac:dyDescent="0.25">
      <c r="F1882" s="1" t="s">
        <v>2446</v>
      </c>
    </row>
    <row r="1883" spans="6:6" x14ac:dyDescent="0.25">
      <c r="F1883" s="1" t="s">
        <v>2397</v>
      </c>
    </row>
    <row r="1884" spans="6:6" x14ac:dyDescent="0.25">
      <c r="F1884" s="1" t="s">
        <v>2398</v>
      </c>
    </row>
    <row r="1885" spans="6:6" x14ac:dyDescent="0.25">
      <c r="F1885" s="1" t="s">
        <v>1050</v>
      </c>
    </row>
    <row r="1886" spans="6:6" x14ac:dyDescent="0.25">
      <c r="F1886" s="1" t="s">
        <v>1119</v>
      </c>
    </row>
    <row r="1887" spans="6:6" x14ac:dyDescent="0.25">
      <c r="F1887" s="1" t="s">
        <v>627</v>
      </c>
    </row>
    <row r="1888" spans="6:6" x14ac:dyDescent="0.25">
      <c r="F1888" s="1" t="s">
        <v>634</v>
      </c>
    </row>
    <row r="1889" spans="6:6" x14ac:dyDescent="0.25">
      <c r="F1889" s="1" t="s">
        <v>1052</v>
      </c>
    </row>
    <row r="1890" spans="6:6" x14ac:dyDescent="0.25">
      <c r="F1890" s="1" t="s">
        <v>1057</v>
      </c>
    </row>
    <row r="1891" spans="6:6" x14ac:dyDescent="0.25">
      <c r="F1891" s="1" t="s">
        <v>641</v>
      </c>
    </row>
    <row r="1892" spans="6:6" x14ac:dyDescent="0.25">
      <c r="F1892" s="1" t="s">
        <v>642</v>
      </c>
    </row>
    <row r="1893" spans="6:6" x14ac:dyDescent="0.25">
      <c r="F1893" s="1" t="s">
        <v>648</v>
      </c>
    </row>
    <row r="1894" spans="6:6" x14ac:dyDescent="0.25">
      <c r="F1894" s="1" t="s">
        <v>1058</v>
      </c>
    </row>
    <row r="1895" spans="6:6" x14ac:dyDescent="0.25">
      <c r="F1895" s="1" t="s">
        <v>649</v>
      </c>
    </row>
    <row r="1896" spans="6:6" x14ac:dyDescent="0.25">
      <c r="F1896" s="1" t="s">
        <v>879</v>
      </c>
    </row>
    <row r="1897" spans="6:6" x14ac:dyDescent="0.25">
      <c r="F1897" s="1" t="s">
        <v>678</v>
      </c>
    </row>
    <row r="1898" spans="6:6" x14ac:dyDescent="0.25">
      <c r="F1898" s="1" t="s">
        <v>880</v>
      </c>
    </row>
    <row r="1899" spans="6:6" x14ac:dyDescent="0.25">
      <c r="F1899" s="1" t="s">
        <v>1053</v>
      </c>
    </row>
    <row r="1900" spans="6:6" x14ac:dyDescent="0.25">
      <c r="F1900" s="1" t="s">
        <v>1060</v>
      </c>
    </row>
    <row r="1901" spans="6:6" x14ac:dyDescent="0.25">
      <c r="F1901" s="1" t="s">
        <v>1059</v>
      </c>
    </row>
    <row r="1902" spans="6:6" x14ac:dyDescent="0.25">
      <c r="F1902" s="1" t="s">
        <v>865</v>
      </c>
    </row>
    <row r="1903" spans="6:6" x14ac:dyDescent="0.25">
      <c r="F1903" s="1" t="s">
        <v>878</v>
      </c>
    </row>
    <row r="1904" spans="6:6" x14ac:dyDescent="0.25">
      <c r="F1904" s="1" t="s">
        <v>621</v>
      </c>
    </row>
    <row r="1905" spans="6:6" x14ac:dyDescent="0.25">
      <c r="F1905" s="1" t="s">
        <v>1376</v>
      </c>
    </row>
    <row r="1906" spans="6:6" x14ac:dyDescent="0.25">
      <c r="F1906" s="1" t="s">
        <v>637</v>
      </c>
    </row>
    <row r="1907" spans="6:6" x14ac:dyDescent="0.25">
      <c r="F1907" s="1" t="s">
        <v>638</v>
      </c>
    </row>
    <row r="1908" spans="6:6" x14ac:dyDescent="0.25">
      <c r="F1908" s="1" t="s">
        <v>459</v>
      </c>
    </row>
    <row r="1909" spans="6:6" x14ac:dyDescent="0.25">
      <c r="F1909" s="1" t="s">
        <v>677</v>
      </c>
    </row>
    <row r="1910" spans="6:6" x14ac:dyDescent="0.25">
      <c r="F1910" s="1" t="s">
        <v>662</v>
      </c>
    </row>
    <row r="1911" spans="6:6" x14ac:dyDescent="0.25">
      <c r="F1911" s="1" t="s">
        <v>639</v>
      </c>
    </row>
    <row r="1912" spans="6:6" x14ac:dyDescent="0.25">
      <c r="F1912" s="1" t="s">
        <v>449</v>
      </c>
    </row>
    <row r="1913" spans="6:6" x14ac:dyDescent="0.25">
      <c r="F1913" s="1" t="s">
        <v>1051</v>
      </c>
    </row>
    <row r="1914" spans="6:6" x14ac:dyDescent="0.25">
      <c r="F1914" s="1" t="s">
        <v>1054</v>
      </c>
    </row>
    <row r="1915" spans="6:6" x14ac:dyDescent="0.25">
      <c r="F1915" s="1" t="s">
        <v>1055</v>
      </c>
    </row>
    <row r="1916" spans="6:6" x14ac:dyDescent="0.25">
      <c r="F1916" s="1" t="s">
        <v>450</v>
      </c>
    </row>
    <row r="1917" spans="6:6" x14ac:dyDescent="0.25">
      <c r="F1917" s="1" t="s">
        <v>640</v>
      </c>
    </row>
    <row r="1918" spans="6:6" x14ac:dyDescent="0.25">
      <c r="F1918" s="1" t="s">
        <v>1120</v>
      </c>
    </row>
    <row r="1919" spans="6:6" x14ac:dyDescent="0.25">
      <c r="F1919" s="1" t="s">
        <v>650</v>
      </c>
    </row>
    <row r="1920" spans="6:6" x14ac:dyDescent="0.25">
      <c r="F1920" s="1" t="s">
        <v>862</v>
      </c>
    </row>
    <row r="1921" spans="6:6" x14ac:dyDescent="0.25">
      <c r="F1921" s="1" t="s">
        <v>868</v>
      </c>
    </row>
    <row r="1922" spans="6:6" x14ac:dyDescent="0.25">
      <c r="F1922" s="1" t="s">
        <v>869</v>
      </c>
    </row>
    <row r="1923" spans="6:6" x14ac:dyDescent="0.25">
      <c r="F1923" s="1" t="s">
        <v>1056</v>
      </c>
    </row>
    <row r="1924" spans="6:6" x14ac:dyDescent="0.25">
      <c r="F1924" s="1" t="s">
        <v>2396</v>
      </c>
    </row>
    <row r="1925" spans="6:6" x14ac:dyDescent="0.25">
      <c r="F1925" s="1" t="s">
        <v>2445</v>
      </c>
    </row>
    <row r="1926" spans="6:6" x14ac:dyDescent="0.25">
      <c r="F1926" s="1" t="s">
        <v>770</v>
      </c>
    </row>
    <row r="1927" spans="6:6" x14ac:dyDescent="0.25">
      <c r="F1927" s="1" t="s">
        <v>632</v>
      </c>
    </row>
    <row r="1928" spans="6:6" x14ac:dyDescent="0.25">
      <c r="F1928" s="1" t="s">
        <v>1509</v>
      </c>
    </row>
    <row r="1929" spans="6:6" x14ac:dyDescent="0.25">
      <c r="F1929" s="1" t="s">
        <v>1394</v>
      </c>
    </row>
    <row r="1930" spans="6:6" x14ac:dyDescent="0.25">
      <c r="F1930" s="1" t="s">
        <v>633</v>
      </c>
    </row>
    <row r="1931" spans="6:6" x14ac:dyDescent="0.25">
      <c r="F1931" s="1" t="s">
        <v>808</v>
      </c>
    </row>
    <row r="1932" spans="6:6" x14ac:dyDescent="0.25">
      <c r="F1932" s="1" t="s">
        <v>849</v>
      </c>
    </row>
    <row r="1933" spans="6:6" x14ac:dyDescent="0.25">
      <c r="F1933" s="1" t="s">
        <v>881</v>
      </c>
    </row>
    <row r="1934" spans="6:6" x14ac:dyDescent="0.25">
      <c r="F1934" s="1" t="s">
        <v>788</v>
      </c>
    </row>
    <row r="1935" spans="6:6" x14ac:dyDescent="0.25">
      <c r="F1935" s="1" t="s">
        <v>946</v>
      </c>
    </row>
    <row r="1936" spans="6:6" x14ac:dyDescent="0.25">
      <c r="F1936" s="1" t="s">
        <v>850</v>
      </c>
    </row>
    <row r="1937" spans="6:6" x14ac:dyDescent="0.25">
      <c r="F1937" s="1" t="s">
        <v>945</v>
      </c>
    </row>
    <row r="1938" spans="6:6" x14ac:dyDescent="0.25">
      <c r="F1938" s="1" t="s">
        <v>953</v>
      </c>
    </row>
    <row r="1939" spans="6:6" x14ac:dyDescent="0.25">
      <c r="F1939" s="1" t="s">
        <v>765</v>
      </c>
    </row>
    <row r="1940" spans="6:6" x14ac:dyDescent="0.25">
      <c r="F1940" s="1" t="s">
        <v>758</v>
      </c>
    </row>
    <row r="1941" spans="6:6" x14ac:dyDescent="0.25">
      <c r="F1941" s="1" t="s">
        <v>983</v>
      </c>
    </row>
    <row r="1942" spans="6:6" x14ac:dyDescent="0.25">
      <c r="F1942" s="1" t="s">
        <v>759</v>
      </c>
    </row>
    <row r="1943" spans="6:6" x14ac:dyDescent="0.25">
      <c r="F1943" s="1" t="s">
        <v>757</v>
      </c>
    </row>
    <row r="1944" spans="6:6" x14ac:dyDescent="0.25">
      <c r="F1944" s="1" t="s">
        <v>578</v>
      </c>
    </row>
    <row r="1945" spans="6:6" x14ac:dyDescent="0.25">
      <c r="F1945" s="1" t="s">
        <v>908</v>
      </c>
    </row>
    <row r="1946" spans="6:6" x14ac:dyDescent="0.25">
      <c r="F1946" s="1" t="s">
        <v>453</v>
      </c>
    </row>
    <row r="1947" spans="6:6" x14ac:dyDescent="0.25">
      <c r="F1947" s="1" t="s">
        <v>1006</v>
      </c>
    </row>
    <row r="1948" spans="6:6" x14ac:dyDescent="0.25">
      <c r="F1948" s="1" t="s">
        <v>444</v>
      </c>
    </row>
    <row r="1949" spans="6:6" x14ac:dyDescent="0.25">
      <c r="F1949" s="1" t="s">
        <v>1005</v>
      </c>
    </row>
    <row r="1950" spans="6:6" x14ac:dyDescent="0.25">
      <c r="F1950" s="1" t="s">
        <v>445</v>
      </c>
    </row>
    <row r="1951" spans="6:6" x14ac:dyDescent="0.25">
      <c r="F1951" s="1" t="s">
        <v>611</v>
      </c>
    </row>
    <row r="1952" spans="6:6" x14ac:dyDescent="0.25">
      <c r="F1952" s="1" t="s">
        <v>830</v>
      </c>
    </row>
    <row r="1953" spans="6:6" x14ac:dyDescent="0.25">
      <c r="F1953" s="1" t="s">
        <v>525</v>
      </c>
    </row>
    <row r="1954" spans="6:6" x14ac:dyDescent="0.25">
      <c r="F1954" s="1" t="s">
        <v>986</v>
      </c>
    </row>
    <row r="1955" spans="6:6" x14ac:dyDescent="0.25">
      <c r="F1955" s="1" t="s">
        <v>2040</v>
      </c>
    </row>
    <row r="1956" spans="6:6" x14ac:dyDescent="0.25">
      <c r="F1956" s="1" t="s">
        <v>304</v>
      </c>
    </row>
    <row r="1957" spans="6:6" x14ac:dyDescent="0.25">
      <c r="F1957" s="1" t="s">
        <v>300</v>
      </c>
    </row>
    <row r="1958" spans="6:6" x14ac:dyDescent="0.25">
      <c r="F1958" s="1" t="s">
        <v>301</v>
      </c>
    </row>
    <row r="1959" spans="6:6" x14ac:dyDescent="0.25">
      <c r="F1959" s="1" t="s">
        <v>302</v>
      </c>
    </row>
    <row r="1960" spans="6:6" x14ac:dyDescent="0.25">
      <c r="F1960" s="1" t="s">
        <v>303</v>
      </c>
    </row>
    <row r="1961" spans="6:6" x14ac:dyDescent="0.25">
      <c r="F1961" s="1" t="s">
        <v>424</v>
      </c>
    </row>
    <row r="1962" spans="6:6" x14ac:dyDescent="0.25">
      <c r="F1962" s="1" t="s">
        <v>726</v>
      </c>
    </row>
    <row r="1963" spans="6:6" x14ac:dyDescent="0.25">
      <c r="F1963" s="1" t="s">
        <v>2063</v>
      </c>
    </row>
    <row r="1964" spans="6:6" x14ac:dyDescent="0.25">
      <c r="F1964" s="1" t="s">
        <v>608</v>
      </c>
    </row>
    <row r="1965" spans="6:6" x14ac:dyDescent="0.25">
      <c r="F1965" s="1" t="s">
        <v>616</v>
      </c>
    </row>
    <row r="1966" spans="6:6" x14ac:dyDescent="0.25">
      <c r="F1966" s="1" t="s">
        <v>487</v>
      </c>
    </row>
    <row r="1967" spans="6:6" x14ac:dyDescent="0.25">
      <c r="F1967" s="1" t="s">
        <v>594</v>
      </c>
    </row>
    <row r="1968" spans="6:6" x14ac:dyDescent="0.25">
      <c r="F1968" s="1" t="s">
        <v>1538</v>
      </c>
    </row>
    <row r="1969" spans="6:6" x14ac:dyDescent="0.25">
      <c r="F1969" s="1" t="s">
        <v>620</v>
      </c>
    </row>
    <row r="1970" spans="6:6" x14ac:dyDescent="0.25">
      <c r="F1970" s="1" t="s">
        <v>2125</v>
      </c>
    </row>
    <row r="1971" spans="6:6" x14ac:dyDescent="0.25">
      <c r="F1971" s="1" t="s">
        <v>1038</v>
      </c>
    </row>
    <row r="1972" spans="6:6" x14ac:dyDescent="0.25">
      <c r="F1972" s="1" t="s">
        <v>910</v>
      </c>
    </row>
    <row r="1973" spans="6:6" x14ac:dyDescent="0.25">
      <c r="F1973" s="1" t="s">
        <v>1181</v>
      </c>
    </row>
    <row r="1974" spans="6:6" x14ac:dyDescent="0.25">
      <c r="F1974" s="1" t="s">
        <v>1184</v>
      </c>
    </row>
    <row r="1975" spans="6:6" x14ac:dyDescent="0.25">
      <c r="F1975" s="1" t="s">
        <v>995</v>
      </c>
    </row>
    <row r="1976" spans="6:6" x14ac:dyDescent="0.25">
      <c r="F1976" s="1" t="s">
        <v>996</v>
      </c>
    </row>
    <row r="1977" spans="6:6" x14ac:dyDescent="0.25">
      <c r="F1977" s="1" t="s">
        <v>1770</v>
      </c>
    </row>
    <row r="1978" spans="6:6" x14ac:dyDescent="0.25">
      <c r="F1978" s="1" t="s">
        <v>1771</v>
      </c>
    </row>
    <row r="1979" spans="6:6" x14ac:dyDescent="0.25">
      <c r="F1979" s="1" t="s">
        <v>1769</v>
      </c>
    </row>
    <row r="1980" spans="6:6" x14ac:dyDescent="0.25">
      <c r="F1980" s="1" t="s">
        <v>2214</v>
      </c>
    </row>
    <row r="1981" spans="6:6" x14ac:dyDescent="0.25">
      <c r="F1981" s="1" t="s">
        <v>1337</v>
      </c>
    </row>
    <row r="1982" spans="6:6" x14ac:dyDescent="0.25">
      <c r="F1982" s="1" t="s">
        <v>1338</v>
      </c>
    </row>
    <row r="1983" spans="6:6" x14ac:dyDescent="0.25">
      <c r="F1983" s="1" t="s">
        <v>1339</v>
      </c>
    </row>
    <row r="1984" spans="6:6" x14ac:dyDescent="0.25">
      <c r="F1984" s="1" t="s">
        <v>1346</v>
      </c>
    </row>
    <row r="1985" spans="6:6" x14ac:dyDescent="0.25">
      <c r="F1985" s="1" t="s">
        <v>1182</v>
      </c>
    </row>
    <row r="1986" spans="6:6" x14ac:dyDescent="0.25">
      <c r="F1986" s="1" t="s">
        <v>851</v>
      </c>
    </row>
    <row r="1987" spans="6:6" x14ac:dyDescent="0.25">
      <c r="F1987" s="1" t="s">
        <v>1484</v>
      </c>
    </row>
    <row r="1988" spans="6:6" x14ac:dyDescent="0.25">
      <c r="F1988" s="1" t="s">
        <v>1829</v>
      </c>
    </row>
    <row r="1989" spans="6:6" x14ac:dyDescent="0.25">
      <c r="F1989" s="1" t="s">
        <v>2321</v>
      </c>
    </row>
    <row r="1990" spans="6:6" x14ac:dyDescent="0.25">
      <c r="F1990" s="1" t="s">
        <v>1483</v>
      </c>
    </row>
    <row r="1991" spans="6:6" x14ac:dyDescent="0.25">
      <c r="F1991" s="1" t="s">
        <v>1011</v>
      </c>
    </row>
    <row r="1992" spans="6:6" x14ac:dyDescent="0.25">
      <c r="F1992" s="1" t="s">
        <v>1926</v>
      </c>
    </row>
    <row r="1993" spans="6:6" x14ac:dyDescent="0.25">
      <c r="F1993" s="1" t="s">
        <v>1326</v>
      </c>
    </row>
    <row r="1994" spans="6:6" x14ac:dyDescent="0.25">
      <c r="F1994" s="1" t="s">
        <v>2373</v>
      </c>
    </row>
    <row r="1995" spans="6:6" x14ac:dyDescent="0.25">
      <c r="F1995" s="1" t="s">
        <v>1347</v>
      </c>
    </row>
    <row r="1996" spans="6:6" x14ac:dyDescent="0.25">
      <c r="F1996" s="1" t="s">
        <v>1040</v>
      </c>
    </row>
    <row r="1997" spans="6:6" x14ac:dyDescent="0.25">
      <c r="F1997" s="1" t="s">
        <v>1348</v>
      </c>
    </row>
    <row r="1998" spans="6:6" x14ac:dyDescent="0.25">
      <c r="F1998" s="1" t="s">
        <v>1340</v>
      </c>
    </row>
    <row r="1999" spans="6:6" x14ac:dyDescent="0.25">
      <c r="F1999" s="1" t="s">
        <v>1451</v>
      </c>
    </row>
    <row r="2000" spans="6:6" x14ac:dyDescent="0.25">
      <c r="F2000" s="1" t="s">
        <v>1555</v>
      </c>
    </row>
    <row r="2001" spans="6:6" x14ac:dyDescent="0.25">
      <c r="F2001" s="1" t="s">
        <v>1531</v>
      </c>
    </row>
    <row r="2002" spans="6:6" x14ac:dyDescent="0.25">
      <c r="F2002" s="1" t="s">
        <v>2813</v>
      </c>
    </row>
    <row r="2003" spans="6:6" x14ac:dyDescent="0.25">
      <c r="F2003" s="1" t="s">
        <v>1327</v>
      </c>
    </row>
    <row r="2004" spans="6:6" x14ac:dyDescent="0.25">
      <c r="F2004" s="1" t="s">
        <v>1823</v>
      </c>
    </row>
    <row r="2005" spans="6:6" x14ac:dyDescent="0.25">
      <c r="F2005" s="1" t="s">
        <v>1328</v>
      </c>
    </row>
    <row r="2006" spans="6:6" x14ac:dyDescent="0.25">
      <c r="F2006" s="1" t="s">
        <v>1808</v>
      </c>
    </row>
    <row r="2007" spans="6:6" x14ac:dyDescent="0.25">
      <c r="F2007" s="1" t="s">
        <v>1395</v>
      </c>
    </row>
    <row r="2008" spans="6:6" x14ac:dyDescent="0.25">
      <c r="F2008" s="1" t="s">
        <v>2176</v>
      </c>
    </row>
    <row r="2009" spans="6:6" x14ac:dyDescent="0.25">
      <c r="F2009" s="1" t="s">
        <v>735</v>
      </c>
    </row>
    <row r="2010" spans="6:6" x14ac:dyDescent="0.25">
      <c r="F2010" s="1" t="s">
        <v>2382</v>
      </c>
    </row>
    <row r="2011" spans="6:6" x14ac:dyDescent="0.25">
      <c r="F2011" s="1" t="s">
        <v>1954</v>
      </c>
    </row>
    <row r="2012" spans="6:6" x14ac:dyDescent="0.25">
      <c r="F2012" s="1" t="s">
        <v>1396</v>
      </c>
    </row>
    <row r="2013" spans="6:6" x14ac:dyDescent="0.25">
      <c r="F2013" s="1" t="s">
        <v>1217</v>
      </c>
    </row>
    <row r="2014" spans="6:6" x14ac:dyDescent="0.25">
      <c r="F2014" s="1" t="s">
        <v>1354</v>
      </c>
    </row>
    <row r="2015" spans="6:6" x14ac:dyDescent="0.25">
      <c r="F2015" s="1" t="s">
        <v>2208</v>
      </c>
    </row>
    <row r="2016" spans="6:6" x14ac:dyDescent="0.25">
      <c r="F2016" s="1" t="s">
        <v>2210</v>
      </c>
    </row>
    <row r="2017" spans="6:6" x14ac:dyDescent="0.25">
      <c r="F2017" s="1" t="s">
        <v>2209</v>
      </c>
    </row>
    <row r="2018" spans="6:6" x14ac:dyDescent="0.25">
      <c r="F2018" s="1" t="s">
        <v>1334</v>
      </c>
    </row>
    <row r="2019" spans="6:6" x14ac:dyDescent="0.25">
      <c r="F2019" s="1" t="s">
        <v>1422</v>
      </c>
    </row>
    <row r="2020" spans="6:6" x14ac:dyDescent="0.25">
      <c r="F2020" s="1" t="s">
        <v>1539</v>
      </c>
    </row>
    <row r="2021" spans="6:6" x14ac:dyDescent="0.25">
      <c r="F2021" s="1" t="s">
        <v>2374</v>
      </c>
    </row>
    <row r="2022" spans="6:6" x14ac:dyDescent="0.25">
      <c r="F2022" s="1" t="s">
        <v>1216</v>
      </c>
    </row>
    <row r="2023" spans="6:6" x14ac:dyDescent="0.25">
      <c r="F2023" s="1" t="s">
        <v>1211</v>
      </c>
    </row>
    <row r="2024" spans="6:6" x14ac:dyDescent="0.25">
      <c r="F2024" s="1" t="s">
        <v>2163</v>
      </c>
    </row>
    <row r="2025" spans="6:6" x14ac:dyDescent="0.25">
      <c r="F2025" s="1" t="s">
        <v>2409</v>
      </c>
    </row>
    <row r="2026" spans="6:6" x14ac:dyDescent="0.25">
      <c r="F2026" s="1" t="s">
        <v>2677</v>
      </c>
    </row>
    <row r="2027" spans="6:6" x14ac:dyDescent="0.25">
      <c r="F2027" s="1" t="s">
        <v>2800</v>
      </c>
    </row>
    <row r="2028" spans="6:6" x14ac:dyDescent="0.25">
      <c r="F2028" s="1" t="s">
        <v>2649</v>
      </c>
    </row>
    <row r="2029" spans="6:6" x14ac:dyDescent="0.25">
      <c r="F2029" s="1" t="s">
        <v>2687</v>
      </c>
    </row>
    <row r="2030" spans="6:6" x14ac:dyDescent="0.25">
      <c r="F2030" s="1" t="s">
        <v>2817</v>
      </c>
    </row>
    <row r="2031" spans="6:6" x14ac:dyDescent="0.25">
      <c r="F2031" s="1" t="s">
        <v>2514</v>
      </c>
    </row>
    <row r="2032" spans="6:6" x14ac:dyDescent="0.25">
      <c r="F2032" s="1" t="s">
        <v>319</v>
      </c>
    </row>
    <row r="2033" spans="6:6" x14ac:dyDescent="0.25">
      <c r="F2033" s="1" t="s">
        <v>320</v>
      </c>
    </row>
    <row r="2034" spans="6:6" x14ac:dyDescent="0.25">
      <c r="F2034" s="1" t="s">
        <v>700</v>
      </c>
    </row>
    <row r="2035" spans="6:6" x14ac:dyDescent="0.25">
      <c r="F2035" s="1" t="s">
        <v>709</v>
      </c>
    </row>
    <row r="2036" spans="6:6" x14ac:dyDescent="0.25">
      <c r="F2036" s="1" t="s">
        <v>708</v>
      </c>
    </row>
    <row r="2037" spans="6:6" x14ac:dyDescent="0.25">
      <c r="F2037" s="1" t="s">
        <v>698</v>
      </c>
    </row>
    <row r="2038" spans="6:6" x14ac:dyDescent="0.25">
      <c r="F2038" s="1" t="s">
        <v>697</v>
      </c>
    </row>
    <row r="2039" spans="6:6" x14ac:dyDescent="0.25">
      <c r="F2039" s="1" t="s">
        <v>701</v>
      </c>
    </row>
    <row r="2040" spans="6:6" x14ac:dyDescent="0.25">
      <c r="F2040" s="1" t="s">
        <v>696</v>
      </c>
    </row>
    <row r="2041" spans="6:6" x14ac:dyDescent="0.25">
      <c r="F2041" s="1" t="s">
        <v>695</v>
      </c>
    </row>
    <row r="2042" spans="6:6" x14ac:dyDescent="0.25">
      <c r="F2042" s="1" t="s">
        <v>703</v>
      </c>
    </row>
    <row r="2043" spans="6:6" x14ac:dyDescent="0.25">
      <c r="F2043" s="1" t="s">
        <v>707</v>
      </c>
    </row>
    <row r="2044" spans="6:6" x14ac:dyDescent="0.25">
      <c r="F2044" s="1" t="s">
        <v>705</v>
      </c>
    </row>
    <row r="2045" spans="6:6" x14ac:dyDescent="0.25">
      <c r="F2045" s="1" t="s">
        <v>702</v>
      </c>
    </row>
    <row r="2046" spans="6:6" x14ac:dyDescent="0.25">
      <c r="F2046" s="1" t="s">
        <v>704</v>
      </c>
    </row>
    <row r="2047" spans="6:6" x14ac:dyDescent="0.25">
      <c r="F2047" s="1" t="s">
        <v>706</v>
      </c>
    </row>
    <row r="2048" spans="6:6" x14ac:dyDescent="0.25">
      <c r="F2048" s="1" t="s">
        <v>699</v>
      </c>
    </row>
    <row r="2049" spans="6:6" x14ac:dyDescent="0.25">
      <c r="F2049" s="1" t="s">
        <v>321</v>
      </c>
    </row>
    <row r="2050" spans="6:6" x14ac:dyDescent="0.25">
      <c r="F2050" s="1" t="s">
        <v>433</v>
      </c>
    </row>
    <row r="2051" spans="6:6" x14ac:dyDescent="0.25">
      <c r="F2051" s="1" t="s">
        <v>322</v>
      </c>
    </row>
    <row r="2052" spans="6:6" x14ac:dyDescent="0.25">
      <c r="F2052" s="1" t="s">
        <v>323</v>
      </c>
    </row>
    <row r="2053" spans="6:6" x14ac:dyDescent="0.25">
      <c r="F2053" s="1" t="s">
        <v>324</v>
      </c>
    </row>
    <row r="2054" spans="6:6" x14ac:dyDescent="0.25">
      <c r="F2054" s="1" t="s">
        <v>325</v>
      </c>
    </row>
    <row r="2055" spans="6:6" x14ac:dyDescent="0.25">
      <c r="F2055" s="1" t="s">
        <v>326</v>
      </c>
    </row>
    <row r="2056" spans="6:6" x14ac:dyDescent="0.25">
      <c r="F2056" s="1" t="s">
        <v>327</v>
      </c>
    </row>
    <row r="2057" spans="6:6" x14ac:dyDescent="0.25">
      <c r="F2057" s="1" t="s">
        <v>328</v>
      </c>
    </row>
    <row r="2058" spans="6:6" x14ac:dyDescent="0.25">
      <c r="F2058" s="1" t="s">
        <v>329</v>
      </c>
    </row>
    <row r="2059" spans="6:6" x14ac:dyDescent="0.25">
      <c r="F2059" s="1" t="s">
        <v>330</v>
      </c>
    </row>
    <row r="2060" spans="6:6" x14ac:dyDescent="0.25">
      <c r="F2060" s="1" t="s">
        <v>331</v>
      </c>
    </row>
    <row r="2061" spans="6:6" x14ac:dyDescent="0.25">
      <c r="F2061" s="1" t="s">
        <v>2211</v>
      </c>
    </row>
    <row r="2062" spans="6:6" x14ac:dyDescent="0.25">
      <c r="F2062" s="1" t="s">
        <v>2111</v>
      </c>
    </row>
    <row r="2063" spans="6:6" x14ac:dyDescent="0.25">
      <c r="F2063" s="1" t="s">
        <v>893</v>
      </c>
    </row>
    <row r="2064" spans="6:6" x14ac:dyDescent="0.25">
      <c r="F2064" s="1" t="s">
        <v>332</v>
      </c>
    </row>
    <row r="2065" spans="6:6" x14ac:dyDescent="0.25">
      <c r="F2065" s="1" t="s">
        <v>1715</v>
      </c>
    </row>
    <row r="2066" spans="6:6" x14ac:dyDescent="0.25">
      <c r="F2066" s="1" t="s">
        <v>2172</v>
      </c>
    </row>
    <row r="2067" spans="6:6" x14ac:dyDescent="0.25">
      <c r="F2067" s="1" t="s">
        <v>539</v>
      </c>
    </row>
    <row r="2068" spans="6:6" x14ac:dyDescent="0.25">
      <c r="F2068" s="1" t="s">
        <v>396</v>
      </c>
    </row>
    <row r="2069" spans="6:6" x14ac:dyDescent="0.25">
      <c r="F2069" s="1" t="s">
        <v>228</v>
      </c>
    </row>
    <row r="2070" spans="6:6" x14ac:dyDescent="0.25">
      <c r="F2070" s="1" t="s">
        <v>229</v>
      </c>
    </row>
    <row r="2071" spans="6:6" x14ac:dyDescent="0.25">
      <c r="F2071" s="1" t="s">
        <v>429</v>
      </c>
    </row>
    <row r="2072" spans="6:6" x14ac:dyDescent="0.25">
      <c r="F2072" s="1" t="s">
        <v>2357</v>
      </c>
    </row>
    <row r="2073" spans="6:6" x14ac:dyDescent="0.25">
      <c r="F2073" s="1" t="s">
        <v>231</v>
      </c>
    </row>
    <row r="2074" spans="6:6" x14ac:dyDescent="0.25">
      <c r="F2074" s="1" t="s">
        <v>334</v>
      </c>
    </row>
    <row r="2075" spans="6:6" x14ac:dyDescent="0.25">
      <c r="F2075" s="1" t="s">
        <v>235</v>
      </c>
    </row>
    <row r="2076" spans="6:6" x14ac:dyDescent="0.25">
      <c r="F2076" s="1" t="s">
        <v>236</v>
      </c>
    </row>
    <row r="2077" spans="6:6" x14ac:dyDescent="0.25">
      <c r="F2077" s="1" t="s">
        <v>336</v>
      </c>
    </row>
    <row r="2078" spans="6:6" x14ac:dyDescent="0.25">
      <c r="F2078" s="1" t="s">
        <v>4472</v>
      </c>
    </row>
    <row r="2079" spans="6:6" x14ac:dyDescent="0.25">
      <c r="F2079" s="1" t="s">
        <v>4568</v>
      </c>
    </row>
    <row r="2080" spans="6:6" x14ac:dyDescent="0.25">
      <c r="F2080" t="str">
        <f>+IFERROR(IF(prix_manquats[[#This Row],[ARTICLE]]="","",prix_manquats[[#This Row],[ARTICLE]]),"")</f>
        <v/>
      </c>
    </row>
  </sheetData>
  <mergeCells count="1">
    <mergeCell ref="B1:C1"/>
  </mergeCells>
  <phoneticPr fontId="1" type="noConversion"/>
  <conditionalFormatting sqref="F3:F2079">
    <cfRule type="duplicateValues" dxfId="6" priority="1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B0EF4-A87F-45F9-96E2-BC4251812402}">
  <dimension ref="A1:C2478"/>
  <sheetViews>
    <sheetView topLeftCell="A2357" workbookViewId="0">
      <selection sqref="A1:C2428"/>
    </sheetView>
  </sheetViews>
  <sheetFormatPr baseColWidth="10" defaultRowHeight="15" x14ac:dyDescent="0.25"/>
  <cols>
    <col min="1" max="1" width="58" bestFit="1" customWidth="1"/>
    <col min="2" max="2" width="10.85546875" bestFit="1" customWidth="1"/>
  </cols>
  <sheetData>
    <row r="1" spans="1:3" x14ac:dyDescent="0.25">
      <c r="A1" t="s">
        <v>0</v>
      </c>
      <c r="B1" t="s">
        <v>101</v>
      </c>
      <c r="C1" t="s">
        <v>102</v>
      </c>
    </row>
    <row r="2" spans="1:3" x14ac:dyDescent="0.25">
      <c r="A2" t="s">
        <v>103</v>
      </c>
      <c r="B2">
        <v>0</v>
      </c>
      <c r="C2">
        <v>1350</v>
      </c>
    </row>
    <row r="3" spans="1:3" x14ac:dyDescent="0.25">
      <c r="A3" t="s">
        <v>104</v>
      </c>
      <c r="B3">
        <v>0</v>
      </c>
      <c r="C3">
        <v>10200</v>
      </c>
    </row>
    <row r="4" spans="1:3" x14ac:dyDescent="0.25">
      <c r="A4" t="s">
        <v>105</v>
      </c>
      <c r="B4">
        <v>0</v>
      </c>
      <c r="C4">
        <v>1650</v>
      </c>
    </row>
    <row r="5" spans="1:3" x14ac:dyDescent="0.25">
      <c r="A5" t="s">
        <v>106</v>
      </c>
      <c r="B5">
        <v>0</v>
      </c>
      <c r="C5">
        <v>1510</v>
      </c>
    </row>
    <row r="6" spans="1:3" x14ac:dyDescent="0.25">
      <c r="A6" t="s">
        <v>107</v>
      </c>
      <c r="B6">
        <v>0</v>
      </c>
      <c r="C6">
        <v>800</v>
      </c>
    </row>
    <row r="7" spans="1:3" x14ac:dyDescent="0.25">
      <c r="A7" t="s">
        <v>108</v>
      </c>
      <c r="B7">
        <v>0</v>
      </c>
      <c r="C7">
        <v>1100</v>
      </c>
    </row>
    <row r="8" spans="1:3" x14ac:dyDescent="0.25">
      <c r="A8" t="s">
        <v>109</v>
      </c>
      <c r="B8">
        <v>0</v>
      </c>
      <c r="C8">
        <v>2250</v>
      </c>
    </row>
    <row r="9" spans="1:3" x14ac:dyDescent="0.25">
      <c r="A9" t="s">
        <v>110</v>
      </c>
      <c r="B9">
        <v>0</v>
      </c>
      <c r="C9">
        <v>1039.57</v>
      </c>
    </row>
    <row r="10" spans="1:3" x14ac:dyDescent="0.25">
      <c r="A10" t="s">
        <v>111</v>
      </c>
      <c r="B10">
        <v>0</v>
      </c>
      <c r="C10">
        <v>3050</v>
      </c>
    </row>
    <row r="11" spans="1:3" x14ac:dyDescent="0.25">
      <c r="A11" t="s">
        <v>112</v>
      </c>
      <c r="B11">
        <v>0</v>
      </c>
      <c r="C11">
        <v>5500</v>
      </c>
    </row>
    <row r="12" spans="1:3" x14ac:dyDescent="0.25">
      <c r="A12" t="s">
        <v>123</v>
      </c>
      <c r="B12">
        <v>0</v>
      </c>
      <c r="C12">
        <v>3900</v>
      </c>
    </row>
    <row r="13" spans="1:3" x14ac:dyDescent="0.25">
      <c r="A13" t="s">
        <v>230</v>
      </c>
      <c r="B13">
        <v>0</v>
      </c>
      <c r="C13">
        <v>1850</v>
      </c>
    </row>
    <row r="14" spans="1:3" x14ac:dyDescent="0.25">
      <c r="A14" t="s">
        <v>232</v>
      </c>
      <c r="B14">
        <v>0</v>
      </c>
      <c r="C14">
        <v>270</v>
      </c>
    </row>
    <row r="15" spans="1:3" x14ac:dyDescent="0.25">
      <c r="A15" t="s">
        <v>233</v>
      </c>
      <c r="B15">
        <v>0</v>
      </c>
      <c r="C15">
        <v>6800</v>
      </c>
    </row>
    <row r="16" spans="1:3" x14ac:dyDescent="0.25">
      <c r="A16" t="s">
        <v>234</v>
      </c>
      <c r="B16">
        <v>0</v>
      </c>
      <c r="C16">
        <v>2950</v>
      </c>
    </row>
    <row r="17" spans="1:3" x14ac:dyDescent="0.25">
      <c r="A17" t="s">
        <v>241</v>
      </c>
      <c r="B17">
        <v>0</v>
      </c>
      <c r="C17">
        <v>8100</v>
      </c>
    </row>
    <row r="18" spans="1:3" x14ac:dyDescent="0.25">
      <c r="A18" t="s">
        <v>255</v>
      </c>
      <c r="B18">
        <v>0</v>
      </c>
      <c r="C18">
        <v>1300</v>
      </c>
    </row>
    <row r="19" spans="1:3" x14ac:dyDescent="0.25">
      <c r="A19" t="s">
        <v>273</v>
      </c>
      <c r="B19">
        <v>0</v>
      </c>
      <c r="C19">
        <v>5450</v>
      </c>
    </row>
    <row r="20" spans="1:3" x14ac:dyDescent="0.25">
      <c r="A20" t="s">
        <v>284</v>
      </c>
      <c r="B20">
        <v>0</v>
      </c>
      <c r="C20">
        <v>7600</v>
      </c>
    </row>
    <row r="21" spans="1:3" x14ac:dyDescent="0.25">
      <c r="A21" t="s">
        <v>292</v>
      </c>
      <c r="B21">
        <v>0</v>
      </c>
      <c r="C21">
        <v>2482.31</v>
      </c>
    </row>
    <row r="22" spans="1:3" x14ac:dyDescent="0.25">
      <c r="A22" t="s">
        <v>338</v>
      </c>
      <c r="B22">
        <v>0</v>
      </c>
      <c r="C22">
        <v>23310</v>
      </c>
    </row>
    <row r="23" spans="1:3" x14ac:dyDescent="0.25">
      <c r="A23" t="s">
        <v>349</v>
      </c>
      <c r="B23">
        <v>0</v>
      </c>
      <c r="C23">
        <v>4700</v>
      </c>
    </row>
    <row r="24" spans="1:3" x14ac:dyDescent="0.25">
      <c r="A24" t="s">
        <v>350</v>
      </c>
      <c r="B24">
        <v>0</v>
      </c>
      <c r="C24">
        <v>2900</v>
      </c>
    </row>
    <row r="25" spans="1:3" x14ac:dyDescent="0.25">
      <c r="A25" t="s">
        <v>355</v>
      </c>
      <c r="B25">
        <v>0</v>
      </c>
      <c r="C25">
        <v>46620</v>
      </c>
    </row>
    <row r="26" spans="1:3" x14ac:dyDescent="0.25">
      <c r="A26" t="s">
        <v>357</v>
      </c>
      <c r="B26">
        <v>0</v>
      </c>
      <c r="C26">
        <v>5100</v>
      </c>
    </row>
    <row r="27" spans="1:3" x14ac:dyDescent="0.25">
      <c r="A27" t="s">
        <v>358</v>
      </c>
      <c r="B27">
        <v>0</v>
      </c>
      <c r="C27">
        <v>3750</v>
      </c>
    </row>
    <row r="28" spans="1:3" x14ac:dyDescent="0.25">
      <c r="A28" t="s">
        <v>362</v>
      </c>
      <c r="B28">
        <v>0</v>
      </c>
      <c r="C28">
        <v>11850</v>
      </c>
    </row>
    <row r="29" spans="1:3" x14ac:dyDescent="0.25">
      <c r="A29" t="s">
        <v>369</v>
      </c>
      <c r="B29">
        <v>0</v>
      </c>
      <c r="C29">
        <v>7650</v>
      </c>
    </row>
    <row r="30" spans="1:3" x14ac:dyDescent="0.25">
      <c r="A30" t="s">
        <v>381</v>
      </c>
      <c r="B30">
        <v>0</v>
      </c>
      <c r="C30">
        <v>8700</v>
      </c>
    </row>
    <row r="31" spans="1:3" x14ac:dyDescent="0.25">
      <c r="A31" t="s">
        <v>382</v>
      </c>
      <c r="B31">
        <v>0</v>
      </c>
      <c r="C31">
        <v>11900</v>
      </c>
    </row>
    <row r="32" spans="1:3" x14ac:dyDescent="0.25">
      <c r="A32" t="s">
        <v>386</v>
      </c>
      <c r="B32">
        <v>0</v>
      </c>
      <c r="C32">
        <v>93240</v>
      </c>
    </row>
    <row r="33" spans="1:3" x14ac:dyDescent="0.25">
      <c r="A33" t="s">
        <v>415</v>
      </c>
      <c r="B33">
        <v>0</v>
      </c>
      <c r="C33">
        <v>10000</v>
      </c>
    </row>
    <row r="34" spans="1:3" x14ac:dyDescent="0.25">
      <c r="A34" t="s">
        <v>418</v>
      </c>
      <c r="B34">
        <v>0</v>
      </c>
      <c r="C34">
        <v>34965</v>
      </c>
    </row>
    <row r="35" spans="1:3" x14ac:dyDescent="0.25">
      <c r="A35" t="s">
        <v>419</v>
      </c>
      <c r="B35">
        <v>0</v>
      </c>
      <c r="C35">
        <v>46620</v>
      </c>
    </row>
    <row r="36" spans="1:3" x14ac:dyDescent="0.25">
      <c r="A36" t="s">
        <v>423</v>
      </c>
      <c r="B36">
        <v>0</v>
      </c>
      <c r="C36">
        <v>7900</v>
      </c>
    </row>
    <row r="37" spans="1:3" x14ac:dyDescent="0.25">
      <c r="A37" t="s">
        <v>425</v>
      </c>
      <c r="B37">
        <v>0</v>
      </c>
      <c r="C37">
        <v>77280</v>
      </c>
    </row>
    <row r="38" spans="1:3" x14ac:dyDescent="0.25">
      <c r="A38" t="s">
        <v>426</v>
      </c>
      <c r="B38">
        <v>0</v>
      </c>
      <c r="C38">
        <v>14683.2</v>
      </c>
    </row>
    <row r="39" spans="1:3" x14ac:dyDescent="0.25">
      <c r="A39" t="s">
        <v>435</v>
      </c>
      <c r="B39">
        <v>1</v>
      </c>
      <c r="C39">
        <v>3700</v>
      </c>
    </row>
    <row r="40" spans="1:3" x14ac:dyDescent="0.25">
      <c r="A40" t="s">
        <v>436</v>
      </c>
      <c r="B40">
        <v>0</v>
      </c>
      <c r="C40">
        <v>1700</v>
      </c>
    </row>
    <row r="41" spans="1:3" x14ac:dyDescent="0.25">
      <c r="A41" t="s">
        <v>438</v>
      </c>
      <c r="B41">
        <v>0</v>
      </c>
      <c r="C41">
        <v>3900</v>
      </c>
    </row>
    <row r="42" spans="1:3" x14ac:dyDescent="0.25">
      <c r="A42" t="s">
        <v>439</v>
      </c>
      <c r="B42">
        <v>0</v>
      </c>
      <c r="C42">
        <v>6450</v>
      </c>
    </row>
    <row r="43" spans="1:3" x14ac:dyDescent="0.25">
      <c r="A43" t="s">
        <v>440</v>
      </c>
      <c r="B43">
        <v>0</v>
      </c>
      <c r="C43">
        <v>900</v>
      </c>
    </row>
    <row r="44" spans="1:3" x14ac:dyDescent="0.25">
      <c r="A44" t="s">
        <v>441</v>
      </c>
      <c r="B44">
        <v>0</v>
      </c>
      <c r="C44">
        <v>2100</v>
      </c>
    </row>
    <row r="45" spans="1:3" x14ac:dyDescent="0.25">
      <c r="A45" t="s">
        <v>442</v>
      </c>
      <c r="B45">
        <v>0</v>
      </c>
      <c r="C45">
        <v>2600</v>
      </c>
    </row>
    <row r="46" spans="1:3" x14ac:dyDescent="0.25">
      <c r="A46" t="s">
        <v>443</v>
      </c>
      <c r="B46">
        <v>0</v>
      </c>
      <c r="C46">
        <v>3250</v>
      </c>
    </row>
    <row r="47" spans="1:3" x14ac:dyDescent="0.25">
      <c r="A47" t="s">
        <v>451</v>
      </c>
      <c r="B47">
        <v>0</v>
      </c>
      <c r="C47">
        <v>4650</v>
      </c>
    </row>
    <row r="48" spans="1:3" x14ac:dyDescent="0.25">
      <c r="A48" t="s">
        <v>65</v>
      </c>
      <c r="B48">
        <v>0</v>
      </c>
      <c r="C48">
        <v>3550</v>
      </c>
    </row>
    <row r="49" spans="1:3" x14ac:dyDescent="0.25">
      <c r="A49" t="s">
        <v>452</v>
      </c>
      <c r="B49">
        <v>0</v>
      </c>
      <c r="C49">
        <v>2350</v>
      </c>
    </row>
    <row r="50" spans="1:3" x14ac:dyDescent="0.25">
      <c r="A50" t="s">
        <v>455</v>
      </c>
      <c r="B50">
        <v>0</v>
      </c>
      <c r="C50">
        <v>4350</v>
      </c>
    </row>
    <row r="51" spans="1:3" x14ac:dyDescent="0.25">
      <c r="A51" t="s">
        <v>458</v>
      </c>
      <c r="B51">
        <v>0</v>
      </c>
      <c r="C51">
        <v>9700</v>
      </c>
    </row>
    <row r="52" spans="1:3" x14ac:dyDescent="0.25">
      <c r="A52" t="s">
        <v>460</v>
      </c>
      <c r="B52">
        <v>0</v>
      </c>
      <c r="C52">
        <v>11500</v>
      </c>
    </row>
    <row r="53" spans="1:3" x14ac:dyDescent="0.25">
      <c r="A53" t="s">
        <v>466</v>
      </c>
      <c r="B53">
        <v>0</v>
      </c>
      <c r="C53">
        <v>8300</v>
      </c>
    </row>
    <row r="54" spans="1:3" x14ac:dyDescent="0.25">
      <c r="A54" t="s">
        <v>476</v>
      </c>
      <c r="B54">
        <v>0</v>
      </c>
      <c r="C54">
        <v>5600</v>
      </c>
    </row>
    <row r="55" spans="1:3" x14ac:dyDescent="0.25">
      <c r="A55" t="s">
        <v>66</v>
      </c>
      <c r="B55">
        <v>4853</v>
      </c>
      <c r="C55">
        <v>200</v>
      </c>
    </row>
    <row r="56" spans="1:3" x14ac:dyDescent="0.25">
      <c r="A56" t="s">
        <v>506</v>
      </c>
      <c r="B56">
        <v>0</v>
      </c>
      <c r="C56">
        <v>1750</v>
      </c>
    </row>
    <row r="57" spans="1:3" x14ac:dyDescent="0.25">
      <c r="A57" t="s">
        <v>527</v>
      </c>
      <c r="B57">
        <v>0</v>
      </c>
      <c r="C57">
        <v>3750</v>
      </c>
    </row>
    <row r="58" spans="1:3" x14ac:dyDescent="0.25">
      <c r="A58" t="s">
        <v>528</v>
      </c>
      <c r="B58">
        <v>0</v>
      </c>
      <c r="C58">
        <v>14843.75</v>
      </c>
    </row>
    <row r="59" spans="1:3" x14ac:dyDescent="0.25">
      <c r="A59" t="s">
        <v>545</v>
      </c>
      <c r="B59">
        <v>0</v>
      </c>
      <c r="C59">
        <v>13800</v>
      </c>
    </row>
    <row r="60" spans="1:3" x14ac:dyDescent="0.25">
      <c r="A60" t="s">
        <v>547</v>
      </c>
      <c r="B60">
        <v>0</v>
      </c>
      <c r="C60">
        <v>7650</v>
      </c>
    </row>
    <row r="61" spans="1:3" x14ac:dyDescent="0.25">
      <c r="A61" t="s">
        <v>559</v>
      </c>
      <c r="B61">
        <v>0</v>
      </c>
      <c r="C61">
        <v>5400</v>
      </c>
    </row>
    <row r="62" spans="1:3" x14ac:dyDescent="0.25">
      <c r="A62" t="s">
        <v>560</v>
      </c>
      <c r="B62">
        <v>0</v>
      </c>
      <c r="C62">
        <v>7900</v>
      </c>
    </row>
    <row r="63" spans="1:3" x14ac:dyDescent="0.25">
      <c r="A63" t="s">
        <v>567</v>
      </c>
      <c r="B63">
        <v>0</v>
      </c>
      <c r="C63">
        <v>6700</v>
      </c>
    </row>
    <row r="64" spans="1:3" x14ac:dyDescent="0.25">
      <c r="A64" t="s">
        <v>568</v>
      </c>
      <c r="B64">
        <v>0</v>
      </c>
      <c r="C64">
        <v>600</v>
      </c>
    </row>
    <row r="65" spans="1:3" x14ac:dyDescent="0.25">
      <c r="A65" t="s">
        <v>571</v>
      </c>
      <c r="B65">
        <v>0</v>
      </c>
      <c r="C65">
        <v>7200</v>
      </c>
    </row>
    <row r="66" spans="1:3" x14ac:dyDescent="0.25">
      <c r="A66" t="s">
        <v>584</v>
      </c>
      <c r="B66">
        <v>0</v>
      </c>
      <c r="C66">
        <v>500</v>
      </c>
    </row>
    <row r="67" spans="1:3" x14ac:dyDescent="0.25">
      <c r="A67" t="s">
        <v>585</v>
      </c>
      <c r="B67">
        <v>0</v>
      </c>
      <c r="C67">
        <v>4350</v>
      </c>
    </row>
    <row r="68" spans="1:3" x14ac:dyDescent="0.25">
      <c r="A68" t="s">
        <v>586</v>
      </c>
      <c r="B68">
        <v>0</v>
      </c>
      <c r="C68">
        <v>5800</v>
      </c>
    </row>
    <row r="69" spans="1:3" x14ac:dyDescent="0.25">
      <c r="A69" t="s">
        <v>587</v>
      </c>
      <c r="B69">
        <v>0</v>
      </c>
      <c r="C69">
        <v>7250</v>
      </c>
    </row>
    <row r="70" spans="1:3" x14ac:dyDescent="0.25">
      <c r="A70" t="s">
        <v>588</v>
      </c>
      <c r="B70">
        <v>0</v>
      </c>
      <c r="C70">
        <v>11007</v>
      </c>
    </row>
    <row r="71" spans="1:3" x14ac:dyDescent="0.25">
      <c r="A71" t="s">
        <v>613</v>
      </c>
      <c r="B71">
        <v>0</v>
      </c>
      <c r="C71">
        <v>6350</v>
      </c>
    </row>
    <row r="72" spans="1:3" x14ac:dyDescent="0.25">
      <c r="A72" t="s">
        <v>615</v>
      </c>
      <c r="B72">
        <v>0</v>
      </c>
      <c r="C72">
        <v>8000</v>
      </c>
    </row>
    <row r="73" spans="1:3" x14ac:dyDescent="0.25">
      <c r="A73" t="s">
        <v>619</v>
      </c>
      <c r="B73">
        <v>0</v>
      </c>
      <c r="C73">
        <v>2100</v>
      </c>
    </row>
    <row r="74" spans="1:3" x14ac:dyDescent="0.25">
      <c r="A74" t="s">
        <v>630</v>
      </c>
      <c r="B74">
        <v>0</v>
      </c>
      <c r="C74">
        <v>2200</v>
      </c>
    </row>
    <row r="75" spans="1:3" x14ac:dyDescent="0.25">
      <c r="A75" t="s">
        <v>631</v>
      </c>
      <c r="B75">
        <v>0</v>
      </c>
      <c r="C75">
        <v>3000</v>
      </c>
    </row>
    <row r="76" spans="1:3" x14ac:dyDescent="0.25">
      <c r="A76" t="s">
        <v>663</v>
      </c>
      <c r="B76">
        <v>0</v>
      </c>
      <c r="C76">
        <v>4941</v>
      </c>
    </row>
    <row r="77" spans="1:3" x14ac:dyDescent="0.25">
      <c r="A77" t="s">
        <v>664</v>
      </c>
      <c r="B77">
        <v>0</v>
      </c>
      <c r="C77">
        <v>1650</v>
      </c>
    </row>
    <row r="78" spans="1:3" x14ac:dyDescent="0.25">
      <c r="A78" t="s">
        <v>719</v>
      </c>
      <c r="B78">
        <v>0</v>
      </c>
      <c r="C78">
        <v>17808</v>
      </c>
    </row>
    <row r="79" spans="1:3" x14ac:dyDescent="0.25">
      <c r="A79" t="s">
        <v>720</v>
      </c>
      <c r="B79">
        <v>0</v>
      </c>
      <c r="C79">
        <v>18240</v>
      </c>
    </row>
    <row r="80" spans="1:3" x14ac:dyDescent="0.25">
      <c r="A80" t="s">
        <v>721</v>
      </c>
      <c r="B80">
        <v>0</v>
      </c>
      <c r="C80">
        <v>18144</v>
      </c>
    </row>
    <row r="81" spans="1:3" x14ac:dyDescent="0.25">
      <c r="A81" t="s">
        <v>722</v>
      </c>
      <c r="B81">
        <v>0</v>
      </c>
      <c r="C81">
        <v>13056</v>
      </c>
    </row>
    <row r="82" spans="1:3" x14ac:dyDescent="0.25">
      <c r="A82" t="s">
        <v>723</v>
      </c>
      <c r="B82">
        <v>0</v>
      </c>
      <c r="C82">
        <v>8064</v>
      </c>
    </row>
    <row r="83" spans="1:3" x14ac:dyDescent="0.25">
      <c r="A83" t="s">
        <v>732</v>
      </c>
      <c r="B83">
        <v>0</v>
      </c>
      <c r="C83">
        <v>1250</v>
      </c>
    </row>
    <row r="84" spans="1:3" x14ac:dyDescent="0.25">
      <c r="A84" t="s">
        <v>742</v>
      </c>
      <c r="B84">
        <v>0</v>
      </c>
      <c r="C84">
        <v>8050</v>
      </c>
    </row>
    <row r="85" spans="1:3" x14ac:dyDescent="0.25">
      <c r="A85" t="s">
        <v>749</v>
      </c>
      <c r="B85">
        <v>0</v>
      </c>
      <c r="C85">
        <v>8600</v>
      </c>
    </row>
    <row r="86" spans="1:3" x14ac:dyDescent="0.25">
      <c r="A86" t="s">
        <v>754</v>
      </c>
      <c r="B86">
        <v>0</v>
      </c>
      <c r="C86">
        <v>3600</v>
      </c>
    </row>
    <row r="87" spans="1:3" x14ac:dyDescent="0.25">
      <c r="A87" t="s">
        <v>761</v>
      </c>
      <c r="B87">
        <v>0</v>
      </c>
      <c r="C87">
        <v>5350</v>
      </c>
    </row>
    <row r="88" spans="1:3" x14ac:dyDescent="0.25">
      <c r="A88" t="s">
        <v>763</v>
      </c>
      <c r="B88">
        <v>0</v>
      </c>
      <c r="C88">
        <v>5200</v>
      </c>
    </row>
    <row r="89" spans="1:3" x14ac:dyDescent="0.25">
      <c r="A89" t="s">
        <v>764</v>
      </c>
      <c r="B89">
        <v>0</v>
      </c>
      <c r="C89">
        <v>6500</v>
      </c>
    </row>
    <row r="90" spans="1:3" x14ac:dyDescent="0.25">
      <c r="A90" t="s">
        <v>777</v>
      </c>
      <c r="B90">
        <v>0</v>
      </c>
      <c r="C90">
        <v>6050</v>
      </c>
    </row>
    <row r="91" spans="1:3" x14ac:dyDescent="0.25">
      <c r="A91" t="s">
        <v>792</v>
      </c>
      <c r="B91">
        <v>0</v>
      </c>
      <c r="C91">
        <v>5050</v>
      </c>
    </row>
    <row r="92" spans="1:3" x14ac:dyDescent="0.25">
      <c r="A92" t="s">
        <v>892</v>
      </c>
      <c r="B92">
        <v>4</v>
      </c>
      <c r="C92">
        <v>13600</v>
      </c>
    </row>
    <row r="93" spans="1:3" x14ac:dyDescent="0.25">
      <c r="A93" t="s">
        <v>894</v>
      </c>
      <c r="B93">
        <v>0</v>
      </c>
      <c r="C93">
        <v>10450</v>
      </c>
    </row>
    <row r="94" spans="1:3" x14ac:dyDescent="0.25">
      <c r="A94" t="s">
        <v>895</v>
      </c>
      <c r="B94">
        <v>0</v>
      </c>
      <c r="C94">
        <v>9650</v>
      </c>
    </row>
    <row r="95" spans="1:3" x14ac:dyDescent="0.25">
      <c r="A95" t="s">
        <v>901</v>
      </c>
      <c r="B95">
        <v>0</v>
      </c>
      <c r="C95">
        <v>9350</v>
      </c>
    </row>
    <row r="96" spans="1:3" x14ac:dyDescent="0.25">
      <c r="A96" t="s">
        <v>911</v>
      </c>
      <c r="B96">
        <v>0</v>
      </c>
      <c r="C96">
        <v>14750</v>
      </c>
    </row>
    <row r="97" spans="1:3" x14ac:dyDescent="0.25">
      <c r="A97" t="s">
        <v>912</v>
      </c>
      <c r="B97">
        <v>0</v>
      </c>
      <c r="C97">
        <v>8600</v>
      </c>
    </row>
    <row r="98" spans="1:3" x14ac:dyDescent="0.25">
      <c r="A98" t="s">
        <v>913</v>
      </c>
      <c r="B98">
        <v>0</v>
      </c>
      <c r="C98">
        <v>4750</v>
      </c>
    </row>
    <row r="99" spans="1:3" x14ac:dyDescent="0.25">
      <c r="A99" t="s">
        <v>918</v>
      </c>
      <c r="B99">
        <v>0</v>
      </c>
      <c r="C99">
        <v>5200</v>
      </c>
    </row>
    <row r="100" spans="1:3" x14ac:dyDescent="0.25">
      <c r="A100" t="s">
        <v>919</v>
      </c>
      <c r="B100">
        <v>0</v>
      </c>
      <c r="C100">
        <v>11500</v>
      </c>
    </row>
    <row r="101" spans="1:3" x14ac:dyDescent="0.25">
      <c r="A101" t="s">
        <v>923</v>
      </c>
      <c r="B101">
        <v>0</v>
      </c>
      <c r="C101">
        <v>17000</v>
      </c>
    </row>
    <row r="102" spans="1:3" x14ac:dyDescent="0.25">
      <c r="A102" t="s">
        <v>962</v>
      </c>
      <c r="B102">
        <v>0</v>
      </c>
      <c r="C102">
        <v>1200</v>
      </c>
    </row>
    <row r="103" spans="1:3" x14ac:dyDescent="0.25">
      <c r="A103" t="s">
        <v>977</v>
      </c>
      <c r="B103">
        <v>0</v>
      </c>
      <c r="C103">
        <v>7200</v>
      </c>
    </row>
    <row r="104" spans="1:3" x14ac:dyDescent="0.25">
      <c r="A104" t="s">
        <v>979</v>
      </c>
      <c r="B104">
        <v>0</v>
      </c>
      <c r="C104">
        <v>8750</v>
      </c>
    </row>
    <row r="105" spans="1:3" x14ac:dyDescent="0.25">
      <c r="A105" t="s">
        <v>984</v>
      </c>
      <c r="B105">
        <v>0</v>
      </c>
      <c r="C105">
        <v>1800</v>
      </c>
    </row>
    <row r="106" spans="1:3" x14ac:dyDescent="0.25">
      <c r="A106" t="s">
        <v>68</v>
      </c>
      <c r="B106">
        <v>807</v>
      </c>
      <c r="C106">
        <v>450</v>
      </c>
    </row>
    <row r="107" spans="1:3" x14ac:dyDescent="0.25">
      <c r="A107" t="s">
        <v>987</v>
      </c>
      <c r="B107">
        <v>0</v>
      </c>
      <c r="C107">
        <v>1200</v>
      </c>
    </row>
    <row r="108" spans="1:3" x14ac:dyDescent="0.25">
      <c r="A108" t="s">
        <v>994</v>
      </c>
      <c r="B108">
        <v>0</v>
      </c>
      <c r="C108">
        <v>51000</v>
      </c>
    </row>
    <row r="109" spans="1:3" x14ac:dyDescent="0.25">
      <c r="A109" t="s">
        <v>1003</v>
      </c>
      <c r="B109">
        <v>0</v>
      </c>
      <c r="C109">
        <v>4700</v>
      </c>
    </row>
    <row r="110" spans="1:3" x14ac:dyDescent="0.25">
      <c r="A110" t="s">
        <v>1007</v>
      </c>
      <c r="B110">
        <v>0</v>
      </c>
      <c r="C110">
        <v>5700</v>
      </c>
    </row>
    <row r="111" spans="1:3" x14ac:dyDescent="0.25">
      <c r="A111" t="s">
        <v>1027</v>
      </c>
      <c r="B111">
        <v>337</v>
      </c>
      <c r="C111">
        <v>12600</v>
      </c>
    </row>
    <row r="112" spans="1:3" x14ac:dyDescent="0.25">
      <c r="A112" t="s">
        <v>1036</v>
      </c>
      <c r="B112">
        <v>24</v>
      </c>
      <c r="C112">
        <v>10900</v>
      </c>
    </row>
    <row r="113" spans="1:3" x14ac:dyDescent="0.25">
      <c r="A113" t="s">
        <v>1039</v>
      </c>
      <c r="B113">
        <v>73</v>
      </c>
      <c r="C113">
        <v>5300</v>
      </c>
    </row>
    <row r="114" spans="1:3" x14ac:dyDescent="0.25">
      <c r="A114" t="s">
        <v>1042</v>
      </c>
      <c r="B114">
        <v>0</v>
      </c>
      <c r="C114">
        <v>1350</v>
      </c>
    </row>
    <row r="115" spans="1:3" x14ac:dyDescent="0.25">
      <c r="A115" t="s">
        <v>1048</v>
      </c>
      <c r="B115">
        <v>0</v>
      </c>
      <c r="C115">
        <v>8500</v>
      </c>
    </row>
    <row r="116" spans="1:3" x14ac:dyDescent="0.25">
      <c r="A116" t="s">
        <v>1114</v>
      </c>
      <c r="B116">
        <v>0</v>
      </c>
      <c r="C116">
        <v>7900</v>
      </c>
    </row>
    <row r="117" spans="1:3" x14ac:dyDescent="0.25">
      <c r="A117" t="s">
        <v>1118</v>
      </c>
      <c r="B117">
        <v>0</v>
      </c>
      <c r="C117">
        <v>5500</v>
      </c>
    </row>
    <row r="118" spans="1:3" x14ac:dyDescent="0.25">
      <c r="A118" t="s">
        <v>1148</v>
      </c>
      <c r="B118">
        <v>0</v>
      </c>
      <c r="C118">
        <v>10700</v>
      </c>
    </row>
    <row r="119" spans="1:3" x14ac:dyDescent="0.25">
      <c r="A119" t="s">
        <v>1151</v>
      </c>
      <c r="B119">
        <v>0</v>
      </c>
      <c r="C119">
        <v>8250</v>
      </c>
    </row>
    <row r="120" spans="1:3" x14ac:dyDescent="0.25">
      <c r="A120" t="s">
        <v>1157</v>
      </c>
      <c r="B120">
        <v>0</v>
      </c>
      <c r="C120">
        <v>1500</v>
      </c>
    </row>
    <row r="121" spans="1:3" x14ac:dyDescent="0.25">
      <c r="A121" t="s">
        <v>1159</v>
      </c>
      <c r="B121">
        <v>0</v>
      </c>
      <c r="C121">
        <v>12200</v>
      </c>
    </row>
    <row r="122" spans="1:3" x14ac:dyDescent="0.25">
      <c r="A122" t="s">
        <v>1160</v>
      </c>
      <c r="B122">
        <v>0</v>
      </c>
      <c r="C122">
        <v>3300</v>
      </c>
    </row>
    <row r="123" spans="1:3" x14ac:dyDescent="0.25">
      <c r="A123" t="s">
        <v>1161</v>
      </c>
      <c r="B123">
        <v>0</v>
      </c>
      <c r="C123">
        <v>4400</v>
      </c>
    </row>
    <row r="124" spans="1:3" x14ac:dyDescent="0.25">
      <c r="A124" t="s">
        <v>1162</v>
      </c>
      <c r="B124">
        <v>0</v>
      </c>
      <c r="C124">
        <v>4650</v>
      </c>
    </row>
    <row r="125" spans="1:3" x14ac:dyDescent="0.25">
      <c r="A125" t="s">
        <v>1163</v>
      </c>
      <c r="B125">
        <v>0</v>
      </c>
      <c r="C125">
        <v>5500</v>
      </c>
    </row>
    <row r="126" spans="1:3" x14ac:dyDescent="0.25">
      <c r="A126" t="s">
        <v>1175</v>
      </c>
      <c r="B126">
        <v>15</v>
      </c>
      <c r="C126">
        <v>10950</v>
      </c>
    </row>
    <row r="127" spans="1:3" x14ac:dyDescent="0.25">
      <c r="A127" t="s">
        <v>1186</v>
      </c>
      <c r="B127">
        <v>0</v>
      </c>
      <c r="C127">
        <v>10400</v>
      </c>
    </row>
    <row r="128" spans="1:3" x14ac:dyDescent="0.25">
      <c r="A128" t="s">
        <v>1187</v>
      </c>
      <c r="B128">
        <v>0</v>
      </c>
      <c r="C128">
        <v>12000</v>
      </c>
    </row>
    <row r="129" spans="1:3" x14ac:dyDescent="0.25">
      <c r="A129" t="s">
        <v>1188</v>
      </c>
      <c r="B129">
        <v>0</v>
      </c>
      <c r="C129">
        <v>10750</v>
      </c>
    </row>
    <row r="130" spans="1:3" x14ac:dyDescent="0.25">
      <c r="A130" t="s">
        <v>1190</v>
      </c>
      <c r="B130">
        <v>0</v>
      </c>
      <c r="C130">
        <v>10950</v>
      </c>
    </row>
    <row r="131" spans="1:3" x14ac:dyDescent="0.25">
      <c r="A131" t="s">
        <v>1204</v>
      </c>
      <c r="B131">
        <v>0</v>
      </c>
      <c r="C131">
        <v>8600</v>
      </c>
    </row>
    <row r="132" spans="1:3" x14ac:dyDescent="0.25">
      <c r="A132" t="s">
        <v>1205</v>
      </c>
      <c r="B132">
        <v>0</v>
      </c>
      <c r="C132">
        <v>350</v>
      </c>
    </row>
    <row r="133" spans="1:3" x14ac:dyDescent="0.25">
      <c r="A133" t="s">
        <v>1206</v>
      </c>
      <c r="B133">
        <v>0</v>
      </c>
      <c r="C133">
        <v>7600</v>
      </c>
    </row>
    <row r="134" spans="1:3" x14ac:dyDescent="0.25">
      <c r="A134" t="s">
        <v>1207</v>
      </c>
      <c r="B134">
        <v>0</v>
      </c>
      <c r="C134">
        <v>10250</v>
      </c>
    </row>
    <row r="135" spans="1:3" x14ac:dyDescent="0.25">
      <c r="A135" t="s">
        <v>1213</v>
      </c>
      <c r="B135">
        <v>0</v>
      </c>
      <c r="C135">
        <v>4000</v>
      </c>
    </row>
    <row r="136" spans="1:3" x14ac:dyDescent="0.25">
      <c r="A136" t="s">
        <v>1214</v>
      </c>
      <c r="B136">
        <v>0</v>
      </c>
      <c r="C136">
        <v>25000</v>
      </c>
    </row>
    <row r="137" spans="1:3" x14ac:dyDescent="0.25">
      <c r="A137" t="s">
        <v>1215</v>
      </c>
      <c r="B137">
        <v>0</v>
      </c>
      <c r="C137">
        <v>3550</v>
      </c>
    </row>
    <row r="138" spans="1:3" x14ac:dyDescent="0.25">
      <c r="A138" t="s">
        <v>1218</v>
      </c>
      <c r="B138">
        <v>0</v>
      </c>
      <c r="C138">
        <v>23000</v>
      </c>
    </row>
    <row r="139" spans="1:3" x14ac:dyDescent="0.25">
      <c r="A139" t="s">
        <v>1238</v>
      </c>
      <c r="B139">
        <v>0</v>
      </c>
      <c r="C139">
        <v>2400</v>
      </c>
    </row>
    <row r="140" spans="1:3" x14ac:dyDescent="0.25">
      <c r="A140" t="s">
        <v>1252</v>
      </c>
      <c r="B140">
        <v>0</v>
      </c>
      <c r="C140">
        <v>23625</v>
      </c>
    </row>
    <row r="141" spans="1:3" x14ac:dyDescent="0.25">
      <c r="A141" t="s">
        <v>1256</v>
      </c>
      <c r="B141">
        <v>0</v>
      </c>
      <c r="C141">
        <v>9150</v>
      </c>
    </row>
    <row r="142" spans="1:3" x14ac:dyDescent="0.25">
      <c r="A142" t="s">
        <v>1257</v>
      </c>
      <c r="B142">
        <v>0</v>
      </c>
      <c r="C142">
        <v>400</v>
      </c>
    </row>
    <row r="143" spans="1:3" x14ac:dyDescent="0.25">
      <c r="A143" t="s">
        <v>1263</v>
      </c>
      <c r="B143">
        <v>0</v>
      </c>
      <c r="C143">
        <v>775</v>
      </c>
    </row>
    <row r="144" spans="1:3" x14ac:dyDescent="0.25">
      <c r="A144" t="s">
        <v>1266</v>
      </c>
      <c r="B144">
        <v>0</v>
      </c>
      <c r="C144">
        <v>0</v>
      </c>
    </row>
    <row r="145" spans="1:3" x14ac:dyDescent="0.25">
      <c r="A145" t="s">
        <v>1277</v>
      </c>
      <c r="B145">
        <v>0</v>
      </c>
      <c r="C145">
        <v>3250</v>
      </c>
    </row>
    <row r="146" spans="1:3" x14ac:dyDescent="0.25">
      <c r="A146" t="s">
        <v>1282</v>
      </c>
      <c r="B146">
        <v>0</v>
      </c>
      <c r="C146">
        <v>13000</v>
      </c>
    </row>
    <row r="147" spans="1:3" x14ac:dyDescent="0.25">
      <c r="A147" t="s">
        <v>1287</v>
      </c>
      <c r="B147">
        <v>0</v>
      </c>
      <c r="C147">
        <v>6900</v>
      </c>
    </row>
    <row r="148" spans="1:3" x14ac:dyDescent="0.25">
      <c r="A148" t="s">
        <v>1288</v>
      </c>
      <c r="B148">
        <v>0</v>
      </c>
      <c r="C148">
        <v>3650</v>
      </c>
    </row>
    <row r="149" spans="1:3" x14ac:dyDescent="0.25">
      <c r="A149" t="s">
        <v>1300</v>
      </c>
      <c r="B149">
        <v>0</v>
      </c>
      <c r="C149">
        <v>5450</v>
      </c>
    </row>
    <row r="150" spans="1:3" x14ac:dyDescent="0.25">
      <c r="A150" t="s">
        <v>1307</v>
      </c>
      <c r="B150">
        <v>0</v>
      </c>
      <c r="C150">
        <v>1900</v>
      </c>
    </row>
    <row r="151" spans="1:3" x14ac:dyDescent="0.25">
      <c r="A151" t="s">
        <v>1310</v>
      </c>
      <c r="B151">
        <v>0</v>
      </c>
      <c r="C151">
        <v>3300</v>
      </c>
    </row>
    <row r="152" spans="1:3" x14ac:dyDescent="0.25">
      <c r="A152" t="s">
        <v>1311</v>
      </c>
      <c r="B152">
        <v>0</v>
      </c>
      <c r="C152">
        <v>4650</v>
      </c>
    </row>
    <row r="153" spans="1:3" x14ac:dyDescent="0.25">
      <c r="A153" t="s">
        <v>1317</v>
      </c>
      <c r="B153">
        <v>0</v>
      </c>
      <c r="C153">
        <v>2400</v>
      </c>
    </row>
    <row r="154" spans="1:3" x14ac:dyDescent="0.25">
      <c r="A154" t="s">
        <v>1318</v>
      </c>
      <c r="B154">
        <v>0</v>
      </c>
      <c r="C154">
        <v>2200</v>
      </c>
    </row>
    <row r="155" spans="1:3" x14ac:dyDescent="0.25">
      <c r="A155" t="s">
        <v>1320</v>
      </c>
      <c r="B155">
        <v>0</v>
      </c>
      <c r="C155">
        <v>2600</v>
      </c>
    </row>
    <row r="156" spans="1:3" x14ac:dyDescent="0.25">
      <c r="A156" t="s">
        <v>1321</v>
      </c>
      <c r="B156">
        <v>0</v>
      </c>
      <c r="C156">
        <v>2800</v>
      </c>
    </row>
    <row r="157" spans="1:3" x14ac:dyDescent="0.25">
      <c r="A157" t="s">
        <v>1322</v>
      </c>
      <c r="B157">
        <v>0</v>
      </c>
      <c r="C157">
        <v>3400</v>
      </c>
    </row>
    <row r="158" spans="1:3" x14ac:dyDescent="0.25">
      <c r="A158" t="s">
        <v>1335</v>
      </c>
      <c r="B158">
        <v>0</v>
      </c>
      <c r="C158">
        <v>5850</v>
      </c>
    </row>
    <row r="159" spans="1:3" x14ac:dyDescent="0.25">
      <c r="A159" t="s">
        <v>1341</v>
      </c>
      <c r="B159">
        <v>0</v>
      </c>
      <c r="C159">
        <v>10750</v>
      </c>
    </row>
    <row r="160" spans="1:3" x14ac:dyDescent="0.25">
      <c r="A160" t="s">
        <v>1350</v>
      </c>
      <c r="B160">
        <v>0</v>
      </c>
      <c r="C160">
        <v>450</v>
      </c>
    </row>
    <row r="161" spans="1:3" x14ac:dyDescent="0.25">
      <c r="A161" t="s">
        <v>1377</v>
      </c>
      <c r="B161">
        <v>0</v>
      </c>
      <c r="C161">
        <v>4420</v>
      </c>
    </row>
    <row r="162" spans="1:3" x14ac:dyDescent="0.25">
      <c r="A162" t="s">
        <v>1378</v>
      </c>
      <c r="B162">
        <v>0</v>
      </c>
      <c r="C162">
        <v>825</v>
      </c>
    </row>
    <row r="163" spans="1:3" x14ac:dyDescent="0.25">
      <c r="A163" t="s">
        <v>1379</v>
      </c>
      <c r="B163">
        <v>0</v>
      </c>
      <c r="C163">
        <v>9050</v>
      </c>
    </row>
    <row r="164" spans="1:3" x14ac:dyDescent="0.25">
      <c r="A164" t="s">
        <v>1380</v>
      </c>
      <c r="B164">
        <v>0</v>
      </c>
      <c r="C164">
        <v>10950</v>
      </c>
    </row>
    <row r="165" spans="1:3" x14ac:dyDescent="0.25">
      <c r="A165" t="s">
        <v>1386</v>
      </c>
      <c r="B165">
        <v>0</v>
      </c>
      <c r="C165">
        <v>7550</v>
      </c>
    </row>
    <row r="166" spans="1:3" x14ac:dyDescent="0.25">
      <c r="A166" t="s">
        <v>1389</v>
      </c>
      <c r="B166">
        <v>0</v>
      </c>
      <c r="C166">
        <v>5050</v>
      </c>
    </row>
    <row r="167" spans="1:3" x14ac:dyDescent="0.25">
      <c r="A167" t="s">
        <v>1398</v>
      </c>
      <c r="B167">
        <v>0</v>
      </c>
      <c r="C167">
        <v>750</v>
      </c>
    </row>
    <row r="168" spans="1:3" x14ac:dyDescent="0.25">
      <c r="A168" t="s">
        <v>1399</v>
      </c>
      <c r="B168">
        <v>0</v>
      </c>
      <c r="C168">
        <v>5250</v>
      </c>
    </row>
    <row r="169" spans="1:3" x14ac:dyDescent="0.25">
      <c r="A169" t="s">
        <v>1404</v>
      </c>
      <c r="B169">
        <v>0</v>
      </c>
      <c r="C169">
        <v>10000</v>
      </c>
    </row>
    <row r="170" spans="1:3" x14ac:dyDescent="0.25">
      <c r="A170" t="s">
        <v>1428</v>
      </c>
      <c r="B170">
        <v>0</v>
      </c>
      <c r="C170">
        <v>3650</v>
      </c>
    </row>
    <row r="171" spans="1:3" x14ac:dyDescent="0.25">
      <c r="A171" t="s">
        <v>1432</v>
      </c>
      <c r="B171">
        <v>0</v>
      </c>
      <c r="C171">
        <v>10800</v>
      </c>
    </row>
    <row r="172" spans="1:3" x14ac:dyDescent="0.25">
      <c r="A172" t="s">
        <v>1452</v>
      </c>
      <c r="B172">
        <v>0</v>
      </c>
      <c r="C172">
        <v>9450</v>
      </c>
    </row>
    <row r="173" spans="1:3" x14ac:dyDescent="0.25">
      <c r="A173" t="s">
        <v>1457</v>
      </c>
      <c r="B173">
        <v>0</v>
      </c>
      <c r="C173">
        <v>6850</v>
      </c>
    </row>
    <row r="174" spans="1:3" x14ac:dyDescent="0.25">
      <c r="A174" t="s">
        <v>1467</v>
      </c>
      <c r="B174">
        <v>0</v>
      </c>
      <c r="C174">
        <v>4150</v>
      </c>
    </row>
    <row r="175" spans="1:3" x14ac:dyDescent="0.25">
      <c r="A175" t="s">
        <v>1480</v>
      </c>
      <c r="B175">
        <v>0</v>
      </c>
      <c r="C175">
        <v>10800</v>
      </c>
    </row>
    <row r="176" spans="1:3" x14ac:dyDescent="0.25">
      <c r="A176" t="s">
        <v>1486</v>
      </c>
      <c r="B176">
        <v>0</v>
      </c>
      <c r="C176">
        <v>5400</v>
      </c>
    </row>
    <row r="177" spans="1:3" x14ac:dyDescent="0.25">
      <c r="A177" t="s">
        <v>1487</v>
      </c>
      <c r="B177">
        <v>0</v>
      </c>
      <c r="C177">
        <v>7200</v>
      </c>
    </row>
    <row r="178" spans="1:3" x14ac:dyDescent="0.25">
      <c r="A178" t="s">
        <v>1488</v>
      </c>
      <c r="B178">
        <v>0</v>
      </c>
      <c r="C178">
        <v>9000</v>
      </c>
    </row>
    <row r="179" spans="1:3" x14ac:dyDescent="0.25">
      <c r="A179" t="s">
        <v>1489</v>
      </c>
      <c r="B179">
        <v>0</v>
      </c>
      <c r="C179">
        <v>2200</v>
      </c>
    </row>
    <row r="180" spans="1:3" x14ac:dyDescent="0.25">
      <c r="A180" t="s">
        <v>1491</v>
      </c>
      <c r="B180">
        <v>0</v>
      </c>
      <c r="C180">
        <v>4400</v>
      </c>
    </row>
    <row r="181" spans="1:3" x14ac:dyDescent="0.25">
      <c r="A181" t="s">
        <v>1492</v>
      </c>
      <c r="B181">
        <v>0</v>
      </c>
      <c r="C181">
        <v>4800</v>
      </c>
    </row>
    <row r="182" spans="1:3" x14ac:dyDescent="0.25">
      <c r="A182" t="s">
        <v>1493</v>
      </c>
      <c r="B182">
        <v>0</v>
      </c>
      <c r="C182">
        <v>5200</v>
      </c>
    </row>
    <row r="183" spans="1:3" x14ac:dyDescent="0.25">
      <c r="A183" t="s">
        <v>1494</v>
      </c>
      <c r="B183">
        <v>0</v>
      </c>
      <c r="C183">
        <v>8000</v>
      </c>
    </row>
    <row r="184" spans="1:3" x14ac:dyDescent="0.25">
      <c r="A184" t="s">
        <v>1495</v>
      </c>
      <c r="B184">
        <v>0</v>
      </c>
      <c r="C184">
        <v>900</v>
      </c>
    </row>
    <row r="185" spans="1:3" x14ac:dyDescent="0.25">
      <c r="A185" t="s">
        <v>1501</v>
      </c>
      <c r="B185">
        <v>0</v>
      </c>
      <c r="C185">
        <v>150</v>
      </c>
    </row>
    <row r="186" spans="1:3" x14ac:dyDescent="0.25">
      <c r="A186" t="s">
        <v>1502</v>
      </c>
      <c r="B186">
        <v>0</v>
      </c>
      <c r="C186">
        <v>3450</v>
      </c>
    </row>
    <row r="187" spans="1:3" x14ac:dyDescent="0.25">
      <c r="A187" t="s">
        <v>1527</v>
      </c>
      <c r="B187">
        <v>0</v>
      </c>
      <c r="C187">
        <v>11400</v>
      </c>
    </row>
    <row r="188" spans="1:3" x14ac:dyDescent="0.25">
      <c r="A188" t="s">
        <v>1530</v>
      </c>
      <c r="B188">
        <v>0</v>
      </c>
      <c r="C188">
        <v>2250</v>
      </c>
    </row>
    <row r="189" spans="1:3" x14ac:dyDescent="0.25">
      <c r="A189" t="s">
        <v>1533</v>
      </c>
      <c r="B189">
        <v>0</v>
      </c>
      <c r="C189">
        <v>36000</v>
      </c>
    </row>
    <row r="190" spans="1:3" x14ac:dyDescent="0.25">
      <c r="A190" t="s">
        <v>1535</v>
      </c>
      <c r="B190">
        <v>0</v>
      </c>
      <c r="C190">
        <v>6450</v>
      </c>
    </row>
    <row r="191" spans="1:3" x14ac:dyDescent="0.25">
      <c r="A191" t="s">
        <v>1546</v>
      </c>
      <c r="B191">
        <v>0</v>
      </c>
      <c r="C191">
        <v>600</v>
      </c>
    </row>
    <row r="192" spans="1:3" x14ac:dyDescent="0.25">
      <c r="A192" t="s">
        <v>1549</v>
      </c>
      <c r="B192">
        <v>0</v>
      </c>
      <c r="C192">
        <v>8400</v>
      </c>
    </row>
    <row r="193" spans="1:3" x14ac:dyDescent="0.25">
      <c r="A193" t="s">
        <v>1558</v>
      </c>
      <c r="B193">
        <v>0</v>
      </c>
      <c r="C193">
        <v>4100</v>
      </c>
    </row>
    <row r="194" spans="1:3" x14ac:dyDescent="0.25">
      <c r="A194" t="s">
        <v>1559</v>
      </c>
      <c r="B194">
        <v>0</v>
      </c>
      <c r="C194">
        <v>10750</v>
      </c>
    </row>
    <row r="195" spans="1:3" x14ac:dyDescent="0.25">
      <c r="A195" t="s">
        <v>1627</v>
      </c>
      <c r="B195">
        <v>0</v>
      </c>
      <c r="C195">
        <v>300</v>
      </c>
    </row>
    <row r="196" spans="1:3" x14ac:dyDescent="0.25">
      <c r="A196" t="s">
        <v>1649</v>
      </c>
      <c r="B196">
        <v>0</v>
      </c>
      <c r="C196">
        <v>2500</v>
      </c>
    </row>
    <row r="197" spans="1:3" x14ac:dyDescent="0.25">
      <c r="A197" t="s">
        <v>1660</v>
      </c>
      <c r="B197">
        <v>0</v>
      </c>
      <c r="C197">
        <v>1250</v>
      </c>
    </row>
    <row r="198" spans="1:3" x14ac:dyDescent="0.25">
      <c r="A198" t="s">
        <v>1661</v>
      </c>
      <c r="B198">
        <v>0</v>
      </c>
      <c r="C198">
        <v>1100</v>
      </c>
    </row>
    <row r="199" spans="1:3" x14ac:dyDescent="0.25">
      <c r="A199" t="s">
        <v>1681</v>
      </c>
      <c r="B199">
        <v>0</v>
      </c>
      <c r="C199">
        <v>2268</v>
      </c>
    </row>
    <row r="200" spans="1:3" x14ac:dyDescent="0.25">
      <c r="A200" t="s">
        <v>1685</v>
      </c>
      <c r="B200">
        <v>0</v>
      </c>
      <c r="C200">
        <v>8850</v>
      </c>
    </row>
    <row r="201" spans="1:3" x14ac:dyDescent="0.25">
      <c r="A201" t="s">
        <v>1713</v>
      </c>
      <c r="B201">
        <v>0</v>
      </c>
      <c r="C201">
        <v>4650</v>
      </c>
    </row>
    <row r="202" spans="1:3" x14ac:dyDescent="0.25">
      <c r="A202" t="s">
        <v>1714</v>
      </c>
      <c r="B202">
        <v>0</v>
      </c>
      <c r="C202">
        <v>5200</v>
      </c>
    </row>
    <row r="203" spans="1:3" x14ac:dyDescent="0.25">
      <c r="A203" t="s">
        <v>1716</v>
      </c>
      <c r="B203">
        <v>0</v>
      </c>
      <c r="C203">
        <v>10300</v>
      </c>
    </row>
    <row r="204" spans="1:3" x14ac:dyDescent="0.25">
      <c r="A204" t="s">
        <v>1718</v>
      </c>
      <c r="B204">
        <v>0</v>
      </c>
      <c r="C204">
        <v>6500</v>
      </c>
    </row>
    <row r="205" spans="1:3" x14ac:dyDescent="0.25">
      <c r="A205" t="s">
        <v>1734</v>
      </c>
      <c r="B205">
        <v>0</v>
      </c>
      <c r="C205">
        <v>9950</v>
      </c>
    </row>
    <row r="206" spans="1:3" x14ac:dyDescent="0.25">
      <c r="A206" t="s">
        <v>1735</v>
      </c>
      <c r="B206">
        <v>0</v>
      </c>
      <c r="C206">
        <v>12200</v>
      </c>
    </row>
    <row r="207" spans="1:3" x14ac:dyDescent="0.25">
      <c r="A207" t="s">
        <v>1736</v>
      </c>
      <c r="B207">
        <v>0</v>
      </c>
      <c r="C207">
        <v>4900</v>
      </c>
    </row>
    <row r="208" spans="1:3" x14ac:dyDescent="0.25">
      <c r="A208" t="s">
        <v>1739</v>
      </c>
      <c r="B208">
        <v>0</v>
      </c>
      <c r="C208">
        <v>11900</v>
      </c>
    </row>
    <row r="209" spans="1:3" x14ac:dyDescent="0.25">
      <c r="A209" t="s">
        <v>1745</v>
      </c>
      <c r="B209">
        <v>0</v>
      </c>
      <c r="C209">
        <v>850</v>
      </c>
    </row>
    <row r="210" spans="1:3" x14ac:dyDescent="0.25">
      <c r="A210" t="s">
        <v>1761</v>
      </c>
      <c r="B210">
        <v>0</v>
      </c>
      <c r="C210">
        <v>12750</v>
      </c>
    </row>
    <row r="211" spans="1:3" x14ac:dyDescent="0.25">
      <c r="A211" t="s">
        <v>1766</v>
      </c>
      <c r="B211">
        <v>0</v>
      </c>
      <c r="C211">
        <v>3540</v>
      </c>
    </row>
    <row r="212" spans="1:3" x14ac:dyDescent="0.25">
      <c r="A212" t="s">
        <v>1772</v>
      </c>
      <c r="B212">
        <v>0</v>
      </c>
      <c r="C212">
        <v>2400</v>
      </c>
    </row>
    <row r="213" spans="1:3" x14ac:dyDescent="0.25">
      <c r="A213" t="s">
        <v>1773</v>
      </c>
      <c r="B213">
        <v>0</v>
      </c>
      <c r="C213">
        <v>6400</v>
      </c>
    </row>
    <row r="214" spans="1:3" x14ac:dyDescent="0.25">
      <c r="A214" t="s">
        <v>1774</v>
      </c>
      <c r="B214">
        <v>0</v>
      </c>
      <c r="C214">
        <v>8250</v>
      </c>
    </row>
    <row r="215" spans="1:3" x14ac:dyDescent="0.25">
      <c r="A215" t="s">
        <v>1776</v>
      </c>
      <c r="B215">
        <v>0</v>
      </c>
      <c r="C215">
        <v>8200</v>
      </c>
    </row>
    <row r="216" spans="1:3" x14ac:dyDescent="0.25">
      <c r="A216" t="s">
        <v>1780</v>
      </c>
      <c r="B216">
        <v>0</v>
      </c>
      <c r="C216">
        <v>12750</v>
      </c>
    </row>
    <row r="217" spans="1:3" x14ac:dyDescent="0.25">
      <c r="A217" t="s">
        <v>1781</v>
      </c>
      <c r="B217">
        <v>0</v>
      </c>
      <c r="C217">
        <v>10650</v>
      </c>
    </row>
    <row r="218" spans="1:3" x14ac:dyDescent="0.25">
      <c r="A218" t="s">
        <v>1782</v>
      </c>
      <c r="B218">
        <v>0</v>
      </c>
      <c r="C218">
        <v>12350</v>
      </c>
    </row>
    <row r="219" spans="1:3" x14ac:dyDescent="0.25">
      <c r="A219" t="s">
        <v>1790</v>
      </c>
      <c r="B219">
        <v>0</v>
      </c>
      <c r="C219">
        <v>10650</v>
      </c>
    </row>
    <row r="220" spans="1:3" x14ac:dyDescent="0.25">
      <c r="A220" t="s">
        <v>1791</v>
      </c>
      <c r="B220">
        <v>0</v>
      </c>
      <c r="C220">
        <v>12350</v>
      </c>
    </row>
    <row r="221" spans="1:3" x14ac:dyDescent="0.25">
      <c r="A221" t="s">
        <v>1794</v>
      </c>
      <c r="B221">
        <v>0</v>
      </c>
      <c r="C221">
        <v>8900</v>
      </c>
    </row>
    <row r="222" spans="1:3" x14ac:dyDescent="0.25">
      <c r="A222" t="s">
        <v>1796</v>
      </c>
      <c r="B222">
        <v>0</v>
      </c>
      <c r="C222">
        <v>2950</v>
      </c>
    </row>
    <row r="223" spans="1:3" x14ac:dyDescent="0.25">
      <c r="A223" t="s">
        <v>1798</v>
      </c>
      <c r="B223">
        <v>0</v>
      </c>
      <c r="C223">
        <v>9950</v>
      </c>
    </row>
    <row r="224" spans="1:3" x14ac:dyDescent="0.25">
      <c r="A224" t="s">
        <v>1799</v>
      </c>
      <c r="B224">
        <v>0</v>
      </c>
      <c r="C224">
        <v>7750</v>
      </c>
    </row>
    <row r="225" spans="1:3" x14ac:dyDescent="0.25">
      <c r="A225" t="s">
        <v>1800</v>
      </c>
      <c r="B225">
        <v>0</v>
      </c>
      <c r="C225">
        <v>4500</v>
      </c>
    </row>
    <row r="226" spans="1:3" x14ac:dyDescent="0.25">
      <c r="A226" t="s">
        <v>1802</v>
      </c>
      <c r="B226">
        <v>0</v>
      </c>
      <c r="C226">
        <v>11900</v>
      </c>
    </row>
    <row r="227" spans="1:3" x14ac:dyDescent="0.25">
      <c r="A227" t="s">
        <v>1807</v>
      </c>
      <c r="B227">
        <v>0</v>
      </c>
      <c r="C227">
        <v>2100</v>
      </c>
    </row>
    <row r="228" spans="1:3" x14ac:dyDescent="0.25">
      <c r="A228" t="s">
        <v>1815</v>
      </c>
      <c r="B228">
        <v>0</v>
      </c>
      <c r="C228">
        <v>4444</v>
      </c>
    </row>
    <row r="229" spans="1:3" x14ac:dyDescent="0.25">
      <c r="A229" t="s">
        <v>1817</v>
      </c>
      <c r="B229">
        <v>0</v>
      </c>
      <c r="C229">
        <v>3400</v>
      </c>
    </row>
    <row r="230" spans="1:3" x14ac:dyDescent="0.25">
      <c r="A230" t="s">
        <v>1818</v>
      </c>
      <c r="B230">
        <v>0</v>
      </c>
      <c r="C230">
        <v>4500</v>
      </c>
    </row>
    <row r="231" spans="1:3" x14ac:dyDescent="0.25">
      <c r="A231" t="s">
        <v>1819</v>
      </c>
      <c r="B231">
        <v>0</v>
      </c>
      <c r="C231">
        <v>5800</v>
      </c>
    </row>
    <row r="232" spans="1:3" x14ac:dyDescent="0.25">
      <c r="A232" t="s">
        <v>1824</v>
      </c>
      <c r="B232">
        <v>0</v>
      </c>
      <c r="C232">
        <v>7350</v>
      </c>
    </row>
    <row r="233" spans="1:3" x14ac:dyDescent="0.25">
      <c r="A233" t="s">
        <v>1825</v>
      </c>
      <c r="B233">
        <v>0</v>
      </c>
      <c r="C233">
        <v>5500</v>
      </c>
    </row>
    <row r="234" spans="1:3" x14ac:dyDescent="0.25">
      <c r="A234" t="s">
        <v>1826</v>
      </c>
      <c r="B234">
        <v>0</v>
      </c>
      <c r="C234">
        <v>8140</v>
      </c>
    </row>
    <row r="235" spans="1:3" x14ac:dyDescent="0.25">
      <c r="A235" t="s">
        <v>1827</v>
      </c>
      <c r="B235">
        <v>0</v>
      </c>
      <c r="C235">
        <v>11750</v>
      </c>
    </row>
    <row r="236" spans="1:3" x14ac:dyDescent="0.25">
      <c r="A236" t="s">
        <v>1831</v>
      </c>
      <c r="B236">
        <v>0</v>
      </c>
      <c r="C236">
        <v>6000</v>
      </c>
    </row>
    <row r="237" spans="1:3" x14ac:dyDescent="0.25">
      <c r="A237" t="s">
        <v>1835</v>
      </c>
      <c r="B237">
        <v>0</v>
      </c>
      <c r="C237">
        <v>1750</v>
      </c>
    </row>
    <row r="238" spans="1:3" x14ac:dyDescent="0.25">
      <c r="A238" t="s">
        <v>1836</v>
      </c>
      <c r="B238">
        <v>0</v>
      </c>
      <c r="C238">
        <v>11900</v>
      </c>
    </row>
    <row r="239" spans="1:3" x14ac:dyDescent="0.25">
      <c r="A239" t="s">
        <v>1837</v>
      </c>
      <c r="B239">
        <v>0</v>
      </c>
      <c r="C239">
        <v>7000</v>
      </c>
    </row>
    <row r="240" spans="1:3" x14ac:dyDescent="0.25">
      <c r="A240" t="s">
        <v>1841</v>
      </c>
      <c r="B240">
        <v>0</v>
      </c>
      <c r="C240">
        <v>3850</v>
      </c>
    </row>
    <row r="241" spans="1:3" x14ac:dyDescent="0.25">
      <c r="A241" t="s">
        <v>1842</v>
      </c>
      <c r="B241">
        <v>0</v>
      </c>
      <c r="C241">
        <v>12750</v>
      </c>
    </row>
    <row r="242" spans="1:3" x14ac:dyDescent="0.25">
      <c r="A242" t="s">
        <v>1843</v>
      </c>
      <c r="B242">
        <v>0</v>
      </c>
      <c r="C242">
        <v>5400</v>
      </c>
    </row>
    <row r="243" spans="1:3" x14ac:dyDescent="0.25">
      <c r="A243" t="s">
        <v>1845</v>
      </c>
      <c r="B243">
        <v>0</v>
      </c>
      <c r="C243">
        <v>4900</v>
      </c>
    </row>
    <row r="244" spans="1:3" x14ac:dyDescent="0.25">
      <c r="A244" t="s">
        <v>1846</v>
      </c>
      <c r="B244">
        <v>0</v>
      </c>
      <c r="C244">
        <v>7150</v>
      </c>
    </row>
    <row r="245" spans="1:3" x14ac:dyDescent="0.25">
      <c r="A245" t="s">
        <v>1848</v>
      </c>
      <c r="B245">
        <v>0</v>
      </c>
      <c r="C245">
        <v>11050</v>
      </c>
    </row>
    <row r="246" spans="1:3" x14ac:dyDescent="0.25">
      <c r="A246" t="s">
        <v>1853</v>
      </c>
      <c r="B246">
        <v>0</v>
      </c>
      <c r="C246">
        <v>5900</v>
      </c>
    </row>
    <row r="247" spans="1:3" x14ac:dyDescent="0.25">
      <c r="A247" t="s">
        <v>1857</v>
      </c>
      <c r="B247">
        <v>0</v>
      </c>
      <c r="C247">
        <v>6500</v>
      </c>
    </row>
    <row r="248" spans="1:3" x14ac:dyDescent="0.25">
      <c r="A248" t="s">
        <v>1859</v>
      </c>
      <c r="B248">
        <v>0</v>
      </c>
      <c r="C248">
        <v>9000</v>
      </c>
    </row>
    <row r="249" spans="1:3" x14ac:dyDescent="0.25">
      <c r="A249" t="s">
        <v>1860</v>
      </c>
      <c r="B249">
        <v>0</v>
      </c>
      <c r="C249">
        <v>8800</v>
      </c>
    </row>
    <row r="250" spans="1:3" x14ac:dyDescent="0.25">
      <c r="A250" t="s">
        <v>1861</v>
      </c>
      <c r="B250">
        <v>0</v>
      </c>
      <c r="C250">
        <v>11000</v>
      </c>
    </row>
    <row r="251" spans="1:3" x14ac:dyDescent="0.25">
      <c r="A251" t="s">
        <v>1864</v>
      </c>
      <c r="B251">
        <v>0</v>
      </c>
      <c r="C251">
        <v>4900</v>
      </c>
    </row>
    <row r="252" spans="1:3" x14ac:dyDescent="0.25">
      <c r="A252" t="s">
        <v>1865</v>
      </c>
      <c r="B252">
        <v>0</v>
      </c>
      <c r="C252">
        <v>6607</v>
      </c>
    </row>
    <row r="253" spans="1:3" x14ac:dyDescent="0.25">
      <c r="A253" t="s">
        <v>1870</v>
      </c>
      <c r="B253">
        <v>0</v>
      </c>
      <c r="C253">
        <v>11050</v>
      </c>
    </row>
    <row r="254" spans="1:3" x14ac:dyDescent="0.25">
      <c r="A254" t="s">
        <v>1871</v>
      </c>
      <c r="B254">
        <v>0</v>
      </c>
      <c r="C254">
        <v>5150</v>
      </c>
    </row>
    <row r="255" spans="1:3" x14ac:dyDescent="0.25">
      <c r="A255" t="s">
        <v>1873</v>
      </c>
      <c r="B255">
        <v>0</v>
      </c>
      <c r="C255">
        <v>5483</v>
      </c>
    </row>
    <row r="256" spans="1:3" x14ac:dyDescent="0.25">
      <c r="A256" t="s">
        <v>1875</v>
      </c>
      <c r="B256">
        <v>0</v>
      </c>
      <c r="C256">
        <v>4650</v>
      </c>
    </row>
    <row r="257" spans="1:3" x14ac:dyDescent="0.25">
      <c r="A257" t="s">
        <v>1879</v>
      </c>
      <c r="B257">
        <v>0</v>
      </c>
      <c r="C257">
        <v>2750</v>
      </c>
    </row>
    <row r="258" spans="1:3" x14ac:dyDescent="0.25">
      <c r="A258" t="s">
        <v>1880</v>
      </c>
      <c r="B258">
        <v>0</v>
      </c>
      <c r="C258">
        <v>4100</v>
      </c>
    </row>
    <row r="259" spans="1:3" x14ac:dyDescent="0.25">
      <c r="A259" t="s">
        <v>1883</v>
      </c>
      <c r="B259">
        <v>0</v>
      </c>
      <c r="C259">
        <v>10550</v>
      </c>
    </row>
    <row r="260" spans="1:3" x14ac:dyDescent="0.25">
      <c r="A260" t="s">
        <v>1887</v>
      </c>
      <c r="B260">
        <v>0</v>
      </c>
      <c r="C260">
        <v>5050</v>
      </c>
    </row>
    <row r="261" spans="1:3" x14ac:dyDescent="0.25">
      <c r="A261" t="s">
        <v>1888</v>
      </c>
      <c r="B261">
        <v>0</v>
      </c>
      <c r="C261">
        <v>11150</v>
      </c>
    </row>
    <row r="262" spans="1:3" x14ac:dyDescent="0.25">
      <c r="A262" t="s">
        <v>1889</v>
      </c>
      <c r="B262">
        <v>1</v>
      </c>
      <c r="C262">
        <v>475</v>
      </c>
    </row>
    <row r="263" spans="1:3" x14ac:dyDescent="0.25">
      <c r="A263" t="s">
        <v>1890</v>
      </c>
      <c r="B263">
        <v>0</v>
      </c>
      <c r="C263">
        <v>1200</v>
      </c>
    </row>
    <row r="264" spans="1:3" x14ac:dyDescent="0.25">
      <c r="A264" t="s">
        <v>1892</v>
      </c>
      <c r="B264">
        <v>0</v>
      </c>
      <c r="C264">
        <v>8050</v>
      </c>
    </row>
    <row r="265" spans="1:3" x14ac:dyDescent="0.25">
      <c r="A265" t="s">
        <v>1894</v>
      </c>
      <c r="B265">
        <v>0</v>
      </c>
      <c r="C265">
        <v>2150</v>
      </c>
    </row>
    <row r="266" spans="1:3" x14ac:dyDescent="0.25">
      <c r="A266" t="s">
        <v>1895</v>
      </c>
      <c r="B266">
        <v>0</v>
      </c>
      <c r="C266">
        <v>1600</v>
      </c>
    </row>
    <row r="267" spans="1:3" x14ac:dyDescent="0.25">
      <c r="A267" t="s">
        <v>1896</v>
      </c>
      <c r="B267">
        <v>0</v>
      </c>
      <c r="C267">
        <v>1400</v>
      </c>
    </row>
    <row r="268" spans="1:3" x14ac:dyDescent="0.25">
      <c r="A268" t="s">
        <v>1897</v>
      </c>
      <c r="B268">
        <v>0</v>
      </c>
      <c r="C268">
        <v>16100</v>
      </c>
    </row>
    <row r="269" spans="1:3" x14ac:dyDescent="0.25">
      <c r="A269" t="s">
        <v>1898</v>
      </c>
      <c r="B269">
        <v>0</v>
      </c>
      <c r="C269">
        <v>1750</v>
      </c>
    </row>
    <row r="270" spans="1:3" x14ac:dyDescent="0.25">
      <c r="A270" t="s">
        <v>1905</v>
      </c>
      <c r="B270">
        <v>0</v>
      </c>
      <c r="C270">
        <v>8550</v>
      </c>
    </row>
    <row r="271" spans="1:3" x14ac:dyDescent="0.25">
      <c r="A271" t="s">
        <v>1913</v>
      </c>
      <c r="B271">
        <v>0</v>
      </c>
      <c r="C271">
        <v>6000</v>
      </c>
    </row>
    <row r="272" spans="1:3" x14ac:dyDescent="0.25">
      <c r="A272" t="s">
        <v>1918</v>
      </c>
      <c r="B272">
        <v>0</v>
      </c>
      <c r="C272">
        <v>2300</v>
      </c>
    </row>
    <row r="273" spans="1:3" x14ac:dyDescent="0.25">
      <c r="A273" t="s">
        <v>1919</v>
      </c>
      <c r="B273">
        <v>0</v>
      </c>
      <c r="C273">
        <v>6950</v>
      </c>
    </row>
    <row r="274" spans="1:3" x14ac:dyDescent="0.25">
      <c r="A274" t="s">
        <v>1920</v>
      </c>
      <c r="B274">
        <v>0</v>
      </c>
      <c r="C274">
        <v>10200</v>
      </c>
    </row>
    <row r="275" spans="1:3" x14ac:dyDescent="0.25">
      <c r="A275" t="s">
        <v>1925</v>
      </c>
      <c r="B275">
        <v>0</v>
      </c>
      <c r="C275">
        <v>1150</v>
      </c>
    </row>
    <row r="276" spans="1:3" x14ac:dyDescent="0.25">
      <c r="A276" t="s">
        <v>1930</v>
      </c>
      <c r="B276">
        <v>0</v>
      </c>
      <c r="C276">
        <v>12300</v>
      </c>
    </row>
    <row r="277" spans="1:3" x14ac:dyDescent="0.25">
      <c r="A277" t="s">
        <v>1931</v>
      </c>
      <c r="B277">
        <v>0</v>
      </c>
      <c r="C277">
        <v>1650</v>
      </c>
    </row>
    <row r="278" spans="1:3" x14ac:dyDescent="0.25">
      <c r="A278" t="s">
        <v>1935</v>
      </c>
      <c r="B278">
        <v>0</v>
      </c>
      <c r="C278">
        <v>8800</v>
      </c>
    </row>
    <row r="279" spans="1:3" x14ac:dyDescent="0.25">
      <c r="A279" t="s">
        <v>1939</v>
      </c>
      <c r="B279">
        <v>0</v>
      </c>
      <c r="C279">
        <v>1750</v>
      </c>
    </row>
    <row r="280" spans="1:3" x14ac:dyDescent="0.25">
      <c r="A280" t="s">
        <v>1940</v>
      </c>
      <c r="B280">
        <v>0</v>
      </c>
      <c r="C280">
        <v>5150</v>
      </c>
    </row>
    <row r="281" spans="1:3" x14ac:dyDescent="0.25">
      <c r="A281" t="s">
        <v>1941</v>
      </c>
      <c r="B281">
        <v>0</v>
      </c>
      <c r="C281">
        <v>0</v>
      </c>
    </row>
    <row r="282" spans="1:3" x14ac:dyDescent="0.25">
      <c r="A282" t="s">
        <v>1942</v>
      </c>
      <c r="B282">
        <v>0</v>
      </c>
      <c r="C282">
        <v>8300</v>
      </c>
    </row>
    <row r="283" spans="1:3" x14ac:dyDescent="0.25">
      <c r="A283" t="s">
        <v>1945</v>
      </c>
      <c r="B283">
        <v>0</v>
      </c>
      <c r="C283">
        <v>9850</v>
      </c>
    </row>
    <row r="284" spans="1:3" x14ac:dyDescent="0.25">
      <c r="A284" t="s">
        <v>1946</v>
      </c>
      <c r="B284">
        <v>0</v>
      </c>
      <c r="C284">
        <v>13050</v>
      </c>
    </row>
    <row r="285" spans="1:3" x14ac:dyDescent="0.25">
      <c r="A285" t="s">
        <v>1948</v>
      </c>
      <c r="B285">
        <v>0</v>
      </c>
      <c r="C285">
        <v>550</v>
      </c>
    </row>
    <row r="286" spans="1:3" x14ac:dyDescent="0.25">
      <c r="A286" t="s">
        <v>1949</v>
      </c>
      <c r="B286">
        <v>0</v>
      </c>
      <c r="C286">
        <v>10700</v>
      </c>
    </row>
    <row r="287" spans="1:3" x14ac:dyDescent="0.25">
      <c r="A287" t="s">
        <v>1951</v>
      </c>
      <c r="B287">
        <v>0</v>
      </c>
      <c r="C287">
        <v>5400</v>
      </c>
    </row>
    <row r="288" spans="1:3" x14ac:dyDescent="0.25">
      <c r="A288" t="s">
        <v>1955</v>
      </c>
      <c r="B288">
        <v>0</v>
      </c>
      <c r="C288">
        <v>2150</v>
      </c>
    </row>
    <row r="289" spans="1:3" x14ac:dyDescent="0.25">
      <c r="A289" t="s">
        <v>1956</v>
      </c>
      <c r="B289">
        <v>0</v>
      </c>
      <c r="C289">
        <v>2700</v>
      </c>
    </row>
    <row r="290" spans="1:3" x14ac:dyDescent="0.25">
      <c r="A290" t="s">
        <v>1957</v>
      </c>
      <c r="B290">
        <v>0</v>
      </c>
      <c r="C290">
        <v>8800</v>
      </c>
    </row>
    <row r="291" spans="1:3" x14ac:dyDescent="0.25">
      <c r="A291" t="s">
        <v>1962</v>
      </c>
      <c r="B291">
        <v>0</v>
      </c>
      <c r="C291">
        <v>2850</v>
      </c>
    </row>
    <row r="292" spans="1:3" x14ac:dyDescent="0.25">
      <c r="A292" t="s">
        <v>1967</v>
      </c>
      <c r="B292">
        <v>0</v>
      </c>
      <c r="C292">
        <v>8550</v>
      </c>
    </row>
    <row r="293" spans="1:3" x14ac:dyDescent="0.25">
      <c r="A293" t="s">
        <v>1969</v>
      </c>
      <c r="B293">
        <v>11</v>
      </c>
      <c r="C293">
        <v>4000</v>
      </c>
    </row>
    <row r="294" spans="1:3" x14ac:dyDescent="0.25">
      <c r="A294" t="s">
        <v>1971</v>
      </c>
      <c r="B294">
        <v>0</v>
      </c>
      <c r="C294">
        <v>12150</v>
      </c>
    </row>
    <row r="295" spans="1:3" x14ac:dyDescent="0.25">
      <c r="A295" t="s">
        <v>1973</v>
      </c>
      <c r="B295">
        <v>0</v>
      </c>
      <c r="C295">
        <v>1350</v>
      </c>
    </row>
    <row r="296" spans="1:3" x14ac:dyDescent="0.25">
      <c r="A296" t="s">
        <v>1976</v>
      </c>
      <c r="B296">
        <v>0</v>
      </c>
      <c r="C296">
        <v>7750</v>
      </c>
    </row>
    <row r="297" spans="1:3" x14ac:dyDescent="0.25">
      <c r="A297" t="s">
        <v>1977</v>
      </c>
      <c r="B297">
        <v>0</v>
      </c>
      <c r="C297">
        <v>4950</v>
      </c>
    </row>
    <row r="298" spans="1:3" x14ac:dyDescent="0.25">
      <c r="A298" t="s">
        <v>1978</v>
      </c>
      <c r="B298">
        <v>0</v>
      </c>
      <c r="C298">
        <v>1150</v>
      </c>
    </row>
    <row r="299" spans="1:3" x14ac:dyDescent="0.25">
      <c r="A299" t="s">
        <v>1983</v>
      </c>
      <c r="B299">
        <v>0</v>
      </c>
      <c r="C299">
        <v>5750</v>
      </c>
    </row>
    <row r="300" spans="1:3" x14ac:dyDescent="0.25">
      <c r="A300" t="s">
        <v>1984</v>
      </c>
      <c r="B300">
        <v>0</v>
      </c>
      <c r="C300">
        <v>3650</v>
      </c>
    </row>
    <row r="301" spans="1:3" x14ac:dyDescent="0.25">
      <c r="A301" t="s">
        <v>1986</v>
      </c>
      <c r="B301">
        <v>0</v>
      </c>
      <c r="C301">
        <v>8950</v>
      </c>
    </row>
    <row r="302" spans="1:3" x14ac:dyDescent="0.25">
      <c r="A302" t="s">
        <v>1992</v>
      </c>
      <c r="B302">
        <v>0</v>
      </c>
      <c r="C302">
        <v>3150</v>
      </c>
    </row>
    <row r="303" spans="1:3" x14ac:dyDescent="0.25">
      <c r="A303" t="s">
        <v>1997</v>
      </c>
      <c r="B303">
        <v>0</v>
      </c>
      <c r="C303">
        <v>5450</v>
      </c>
    </row>
    <row r="304" spans="1:3" x14ac:dyDescent="0.25">
      <c r="A304" t="s">
        <v>1999</v>
      </c>
      <c r="B304">
        <v>0</v>
      </c>
      <c r="C304">
        <v>1350</v>
      </c>
    </row>
    <row r="305" spans="1:3" x14ac:dyDescent="0.25">
      <c r="A305" t="s">
        <v>2003</v>
      </c>
      <c r="B305">
        <v>0</v>
      </c>
      <c r="C305">
        <v>1650</v>
      </c>
    </row>
    <row r="306" spans="1:3" x14ac:dyDescent="0.25">
      <c r="A306" t="s">
        <v>2008</v>
      </c>
      <c r="B306">
        <v>0</v>
      </c>
      <c r="C306">
        <v>3200</v>
      </c>
    </row>
    <row r="307" spans="1:3" x14ac:dyDescent="0.25">
      <c r="A307" t="s">
        <v>2011</v>
      </c>
      <c r="B307">
        <v>0</v>
      </c>
      <c r="C307">
        <v>6950</v>
      </c>
    </row>
    <row r="308" spans="1:3" x14ac:dyDescent="0.25">
      <c r="A308" t="s">
        <v>2014</v>
      </c>
      <c r="B308">
        <v>0</v>
      </c>
      <c r="C308">
        <v>12750</v>
      </c>
    </row>
    <row r="309" spans="1:3" x14ac:dyDescent="0.25">
      <c r="A309" t="s">
        <v>2017</v>
      </c>
      <c r="B309">
        <v>0</v>
      </c>
      <c r="C309">
        <v>1900</v>
      </c>
    </row>
    <row r="310" spans="1:3" x14ac:dyDescent="0.25">
      <c r="A310" t="s">
        <v>2022</v>
      </c>
      <c r="B310">
        <v>0</v>
      </c>
      <c r="C310">
        <v>7350</v>
      </c>
    </row>
    <row r="311" spans="1:3" x14ac:dyDescent="0.25">
      <c r="A311" t="s">
        <v>2023</v>
      </c>
      <c r="B311">
        <v>0</v>
      </c>
      <c r="C311">
        <v>1300</v>
      </c>
    </row>
    <row r="312" spans="1:3" x14ac:dyDescent="0.25">
      <c r="A312" t="s">
        <v>2029</v>
      </c>
      <c r="B312">
        <v>0</v>
      </c>
      <c r="C312">
        <v>7850</v>
      </c>
    </row>
    <row r="313" spans="1:3" x14ac:dyDescent="0.25">
      <c r="A313" t="s">
        <v>2041</v>
      </c>
      <c r="B313">
        <v>0</v>
      </c>
      <c r="C313">
        <v>13050</v>
      </c>
    </row>
    <row r="314" spans="1:3" x14ac:dyDescent="0.25">
      <c r="A314" t="s">
        <v>2044</v>
      </c>
      <c r="B314">
        <v>0</v>
      </c>
      <c r="C314">
        <v>11900</v>
      </c>
    </row>
    <row r="315" spans="1:3" x14ac:dyDescent="0.25">
      <c r="A315" t="s">
        <v>2049</v>
      </c>
      <c r="B315">
        <v>0</v>
      </c>
      <c r="C315">
        <v>7250</v>
      </c>
    </row>
    <row r="316" spans="1:3" x14ac:dyDescent="0.25">
      <c r="A316" t="s">
        <v>2052</v>
      </c>
      <c r="B316">
        <v>0</v>
      </c>
      <c r="C316">
        <v>12750</v>
      </c>
    </row>
    <row r="317" spans="1:3" x14ac:dyDescent="0.25">
      <c r="A317" t="s">
        <v>2072</v>
      </c>
      <c r="B317">
        <v>0</v>
      </c>
      <c r="C317">
        <v>1600</v>
      </c>
    </row>
    <row r="318" spans="1:3" x14ac:dyDescent="0.25">
      <c r="A318" t="s">
        <v>2076</v>
      </c>
      <c r="B318">
        <v>0</v>
      </c>
      <c r="C318">
        <v>5600</v>
      </c>
    </row>
    <row r="319" spans="1:3" x14ac:dyDescent="0.25">
      <c r="A319" t="s">
        <v>2079</v>
      </c>
      <c r="B319">
        <v>0</v>
      </c>
      <c r="C319">
        <v>500</v>
      </c>
    </row>
    <row r="320" spans="1:3" x14ac:dyDescent="0.25">
      <c r="A320" t="s">
        <v>2080</v>
      </c>
      <c r="B320">
        <v>0</v>
      </c>
      <c r="C320">
        <v>23500</v>
      </c>
    </row>
    <row r="321" spans="1:3" x14ac:dyDescent="0.25">
      <c r="A321" t="s">
        <v>2081</v>
      </c>
      <c r="B321">
        <v>0</v>
      </c>
      <c r="C321">
        <v>950</v>
      </c>
    </row>
    <row r="322" spans="1:3" x14ac:dyDescent="0.25">
      <c r="A322" t="s">
        <v>2086</v>
      </c>
      <c r="B322">
        <v>0</v>
      </c>
      <c r="C322">
        <v>8500</v>
      </c>
    </row>
    <row r="323" spans="1:3" x14ac:dyDescent="0.25">
      <c r="A323" t="s">
        <v>2088</v>
      </c>
      <c r="B323">
        <v>0</v>
      </c>
      <c r="C323">
        <v>8050</v>
      </c>
    </row>
    <row r="324" spans="1:3" x14ac:dyDescent="0.25">
      <c r="A324" t="s">
        <v>2093</v>
      </c>
      <c r="B324">
        <v>0</v>
      </c>
      <c r="C324">
        <v>6850</v>
      </c>
    </row>
    <row r="325" spans="1:3" x14ac:dyDescent="0.25">
      <c r="A325" t="s">
        <v>2094</v>
      </c>
      <c r="B325">
        <v>0</v>
      </c>
      <c r="C325">
        <v>1450</v>
      </c>
    </row>
    <row r="326" spans="1:3" x14ac:dyDescent="0.25">
      <c r="A326" t="s">
        <v>2095</v>
      </c>
      <c r="B326">
        <v>0</v>
      </c>
      <c r="C326">
        <v>4450</v>
      </c>
    </row>
    <row r="327" spans="1:3" x14ac:dyDescent="0.25">
      <c r="A327" t="s">
        <v>2098</v>
      </c>
      <c r="B327">
        <v>0</v>
      </c>
      <c r="C327">
        <v>5850</v>
      </c>
    </row>
    <row r="328" spans="1:3" x14ac:dyDescent="0.25">
      <c r="A328" t="s">
        <v>2099</v>
      </c>
      <c r="B328">
        <v>0</v>
      </c>
      <c r="C328">
        <v>8400</v>
      </c>
    </row>
    <row r="329" spans="1:3" x14ac:dyDescent="0.25">
      <c r="A329" t="s">
        <v>2100</v>
      </c>
      <c r="B329">
        <v>0</v>
      </c>
      <c r="C329">
        <v>10500</v>
      </c>
    </row>
    <row r="330" spans="1:3" x14ac:dyDescent="0.25">
      <c r="A330" t="s">
        <v>2105</v>
      </c>
      <c r="B330">
        <v>0</v>
      </c>
      <c r="C330">
        <v>700</v>
      </c>
    </row>
    <row r="331" spans="1:3" x14ac:dyDescent="0.25">
      <c r="A331" t="s">
        <v>2116</v>
      </c>
      <c r="B331">
        <v>0</v>
      </c>
      <c r="C331">
        <v>19000</v>
      </c>
    </row>
    <row r="332" spans="1:3" x14ac:dyDescent="0.25">
      <c r="A332" t="s">
        <v>2117</v>
      </c>
      <c r="B332">
        <v>0</v>
      </c>
      <c r="C332">
        <v>18000</v>
      </c>
    </row>
    <row r="333" spans="1:3" x14ac:dyDescent="0.25">
      <c r="A333" t="s">
        <v>2118</v>
      </c>
      <c r="B333">
        <v>0</v>
      </c>
      <c r="C333">
        <v>5150</v>
      </c>
    </row>
    <row r="334" spans="1:3" x14ac:dyDescent="0.25">
      <c r="A334" t="s">
        <v>2120</v>
      </c>
      <c r="B334">
        <v>0</v>
      </c>
      <c r="C334">
        <v>9450</v>
      </c>
    </row>
    <row r="335" spans="1:3" x14ac:dyDescent="0.25">
      <c r="A335" t="s">
        <v>2123</v>
      </c>
      <c r="B335">
        <v>0</v>
      </c>
      <c r="C335">
        <v>1450</v>
      </c>
    </row>
    <row r="336" spans="1:3" x14ac:dyDescent="0.25">
      <c r="A336" t="s">
        <v>2124</v>
      </c>
      <c r="B336">
        <v>0</v>
      </c>
      <c r="C336">
        <v>900</v>
      </c>
    </row>
    <row r="337" spans="1:3" x14ac:dyDescent="0.25">
      <c r="A337" t="s">
        <v>2127</v>
      </c>
      <c r="B337">
        <v>0</v>
      </c>
      <c r="C337">
        <v>3850</v>
      </c>
    </row>
    <row r="338" spans="1:3" x14ac:dyDescent="0.25">
      <c r="A338" t="s">
        <v>2128</v>
      </c>
      <c r="B338">
        <v>0</v>
      </c>
      <c r="C338">
        <v>8400</v>
      </c>
    </row>
    <row r="339" spans="1:3" x14ac:dyDescent="0.25">
      <c r="A339" t="s">
        <v>2139</v>
      </c>
      <c r="B339">
        <v>0</v>
      </c>
      <c r="C339">
        <v>5900</v>
      </c>
    </row>
    <row r="340" spans="1:3" x14ac:dyDescent="0.25">
      <c r="A340" t="s">
        <v>2142</v>
      </c>
      <c r="B340">
        <v>0</v>
      </c>
      <c r="C340">
        <v>280</v>
      </c>
    </row>
    <row r="341" spans="1:3" x14ac:dyDescent="0.25">
      <c r="A341" t="s">
        <v>2145</v>
      </c>
      <c r="B341">
        <v>0</v>
      </c>
      <c r="C341">
        <v>3150</v>
      </c>
    </row>
    <row r="342" spans="1:3" x14ac:dyDescent="0.25">
      <c r="A342" t="s">
        <v>2146</v>
      </c>
      <c r="B342">
        <v>0</v>
      </c>
      <c r="C342">
        <v>4200</v>
      </c>
    </row>
    <row r="343" spans="1:3" x14ac:dyDescent="0.25">
      <c r="A343" t="s">
        <v>2147</v>
      </c>
      <c r="B343">
        <v>0</v>
      </c>
      <c r="C343">
        <v>5250</v>
      </c>
    </row>
    <row r="344" spans="1:3" x14ac:dyDescent="0.25">
      <c r="A344" t="s">
        <v>1</v>
      </c>
      <c r="B344">
        <v>327</v>
      </c>
      <c r="C344">
        <v>8450</v>
      </c>
    </row>
    <row r="345" spans="1:3" x14ac:dyDescent="0.25">
      <c r="A345" t="s">
        <v>2162</v>
      </c>
      <c r="B345">
        <v>0</v>
      </c>
      <c r="C345">
        <v>11600</v>
      </c>
    </row>
    <row r="346" spans="1:3" x14ac:dyDescent="0.25">
      <c r="A346" t="s">
        <v>2164</v>
      </c>
      <c r="B346">
        <v>0</v>
      </c>
      <c r="C346">
        <v>7350</v>
      </c>
    </row>
    <row r="347" spans="1:3" x14ac:dyDescent="0.25">
      <c r="A347" t="s">
        <v>2165</v>
      </c>
      <c r="B347">
        <v>0</v>
      </c>
      <c r="C347">
        <v>11350</v>
      </c>
    </row>
    <row r="348" spans="1:3" x14ac:dyDescent="0.25">
      <c r="A348" t="s">
        <v>2166</v>
      </c>
      <c r="B348">
        <v>0</v>
      </c>
      <c r="C348">
        <v>8700</v>
      </c>
    </row>
    <row r="349" spans="1:3" x14ac:dyDescent="0.25">
      <c r="A349" t="s">
        <v>2167</v>
      </c>
      <c r="B349">
        <v>0</v>
      </c>
      <c r="C349">
        <v>11900</v>
      </c>
    </row>
    <row r="350" spans="1:3" x14ac:dyDescent="0.25">
      <c r="A350" t="s">
        <v>2168</v>
      </c>
      <c r="B350">
        <v>0</v>
      </c>
      <c r="C350">
        <v>1</v>
      </c>
    </row>
    <row r="351" spans="1:3" x14ac:dyDescent="0.25">
      <c r="A351" t="s">
        <v>2169</v>
      </c>
      <c r="B351">
        <v>0</v>
      </c>
      <c r="C351">
        <v>12200</v>
      </c>
    </row>
    <row r="352" spans="1:3" x14ac:dyDescent="0.25">
      <c r="A352" t="s">
        <v>2171</v>
      </c>
      <c r="B352">
        <v>0</v>
      </c>
      <c r="C352">
        <v>10100</v>
      </c>
    </row>
    <row r="353" spans="1:3" x14ac:dyDescent="0.25">
      <c r="A353" t="s">
        <v>2173</v>
      </c>
      <c r="B353">
        <v>0</v>
      </c>
      <c r="C353">
        <v>2500</v>
      </c>
    </row>
    <row r="354" spans="1:3" x14ac:dyDescent="0.25">
      <c r="A354" t="s">
        <v>2174</v>
      </c>
      <c r="B354">
        <v>0</v>
      </c>
      <c r="C354">
        <v>3100</v>
      </c>
    </row>
    <row r="355" spans="1:3" x14ac:dyDescent="0.25">
      <c r="A355" t="s">
        <v>2177</v>
      </c>
      <c r="B355">
        <v>0</v>
      </c>
      <c r="C355">
        <v>5900</v>
      </c>
    </row>
    <row r="356" spans="1:3" x14ac:dyDescent="0.25">
      <c r="A356" t="s">
        <v>2178</v>
      </c>
      <c r="B356">
        <v>0</v>
      </c>
      <c r="C356">
        <v>6900</v>
      </c>
    </row>
    <row r="357" spans="1:3" x14ac:dyDescent="0.25">
      <c r="A357" t="s">
        <v>2180</v>
      </c>
      <c r="B357">
        <v>5</v>
      </c>
      <c r="C357">
        <v>1800</v>
      </c>
    </row>
    <row r="358" spans="1:3" x14ac:dyDescent="0.25">
      <c r="A358" t="s">
        <v>2181</v>
      </c>
      <c r="B358">
        <v>37</v>
      </c>
      <c r="C358">
        <v>2200</v>
      </c>
    </row>
    <row r="359" spans="1:3" x14ac:dyDescent="0.25">
      <c r="A359" t="s">
        <v>2182</v>
      </c>
      <c r="B359">
        <v>88</v>
      </c>
      <c r="C359">
        <v>4600</v>
      </c>
    </row>
    <row r="360" spans="1:3" x14ac:dyDescent="0.25">
      <c r="A360" t="s">
        <v>2183</v>
      </c>
      <c r="B360">
        <v>0</v>
      </c>
      <c r="C360">
        <v>11500</v>
      </c>
    </row>
    <row r="361" spans="1:3" x14ac:dyDescent="0.25">
      <c r="A361" t="s">
        <v>2184</v>
      </c>
      <c r="B361">
        <v>0</v>
      </c>
      <c r="C361">
        <v>8850</v>
      </c>
    </row>
    <row r="362" spans="1:3" x14ac:dyDescent="0.25">
      <c r="A362" t="s">
        <v>2185</v>
      </c>
      <c r="B362">
        <v>0</v>
      </c>
      <c r="C362">
        <v>4500</v>
      </c>
    </row>
    <row r="363" spans="1:3" x14ac:dyDescent="0.25">
      <c r="A363" t="s">
        <v>2186</v>
      </c>
      <c r="B363">
        <v>0</v>
      </c>
      <c r="C363">
        <v>6000</v>
      </c>
    </row>
    <row r="364" spans="1:3" x14ac:dyDescent="0.25">
      <c r="A364" t="s">
        <v>2187</v>
      </c>
      <c r="B364">
        <v>0</v>
      </c>
      <c r="C364">
        <v>7500</v>
      </c>
    </row>
    <row r="365" spans="1:3" x14ac:dyDescent="0.25">
      <c r="A365" t="s">
        <v>2190</v>
      </c>
      <c r="B365">
        <v>0</v>
      </c>
      <c r="C365">
        <v>11200</v>
      </c>
    </row>
    <row r="366" spans="1:3" x14ac:dyDescent="0.25">
      <c r="A366" t="s">
        <v>2193</v>
      </c>
      <c r="B366">
        <v>0</v>
      </c>
      <c r="C366">
        <v>5000</v>
      </c>
    </row>
    <row r="367" spans="1:3" x14ac:dyDescent="0.25">
      <c r="A367" t="s">
        <v>2194</v>
      </c>
      <c r="B367">
        <v>0</v>
      </c>
      <c r="C367">
        <v>3350</v>
      </c>
    </row>
    <row r="368" spans="1:3" x14ac:dyDescent="0.25">
      <c r="A368" t="s">
        <v>2195</v>
      </c>
      <c r="B368">
        <v>0</v>
      </c>
      <c r="C368">
        <v>15550</v>
      </c>
    </row>
    <row r="369" spans="1:3" x14ac:dyDescent="0.25">
      <c r="A369" t="s">
        <v>2196</v>
      </c>
      <c r="B369">
        <v>0</v>
      </c>
      <c r="C369">
        <v>7600</v>
      </c>
    </row>
    <row r="370" spans="1:3" x14ac:dyDescent="0.25">
      <c r="A370" t="s">
        <v>2197</v>
      </c>
      <c r="B370">
        <v>0</v>
      </c>
      <c r="C370">
        <v>9600</v>
      </c>
    </row>
    <row r="371" spans="1:3" x14ac:dyDescent="0.25">
      <c r="A371" t="s">
        <v>2201</v>
      </c>
      <c r="B371">
        <v>0</v>
      </c>
      <c r="C371">
        <v>7400</v>
      </c>
    </row>
    <row r="372" spans="1:3" x14ac:dyDescent="0.25">
      <c r="A372" t="s">
        <v>2203</v>
      </c>
      <c r="B372">
        <v>0</v>
      </c>
      <c r="C372">
        <v>4800</v>
      </c>
    </row>
    <row r="373" spans="1:3" x14ac:dyDescent="0.25">
      <c r="A373" t="s">
        <v>2204</v>
      </c>
      <c r="B373">
        <v>0</v>
      </c>
      <c r="C373">
        <v>7400</v>
      </c>
    </row>
    <row r="374" spans="1:3" x14ac:dyDescent="0.25">
      <c r="A374" t="s">
        <v>2205</v>
      </c>
      <c r="B374">
        <v>0</v>
      </c>
      <c r="C374">
        <v>9250</v>
      </c>
    </row>
    <row r="375" spans="1:3" x14ac:dyDescent="0.25">
      <c r="A375" t="s">
        <v>2207</v>
      </c>
      <c r="B375">
        <v>2065</v>
      </c>
      <c r="C375">
        <v>7200</v>
      </c>
    </row>
    <row r="376" spans="1:3" x14ac:dyDescent="0.25">
      <c r="A376" t="s">
        <v>2213</v>
      </c>
      <c r="B376">
        <v>0</v>
      </c>
      <c r="C376">
        <v>12750</v>
      </c>
    </row>
    <row r="377" spans="1:3" x14ac:dyDescent="0.25">
      <c r="A377" t="s">
        <v>2216</v>
      </c>
      <c r="B377">
        <v>0</v>
      </c>
      <c r="C377">
        <v>24000</v>
      </c>
    </row>
    <row r="378" spans="1:3" x14ac:dyDescent="0.25">
      <c r="A378" t="s">
        <v>2220</v>
      </c>
      <c r="B378">
        <v>0</v>
      </c>
      <c r="C378">
        <v>7200</v>
      </c>
    </row>
    <row r="379" spans="1:3" x14ac:dyDescent="0.25">
      <c r="A379" t="s">
        <v>2223</v>
      </c>
      <c r="B379">
        <v>0</v>
      </c>
      <c r="C379">
        <v>280</v>
      </c>
    </row>
    <row r="380" spans="1:3" x14ac:dyDescent="0.25">
      <c r="A380" t="s">
        <v>2224</v>
      </c>
      <c r="B380">
        <v>0</v>
      </c>
      <c r="C380">
        <v>11600</v>
      </c>
    </row>
    <row r="381" spans="1:3" x14ac:dyDescent="0.25">
      <c r="A381" t="s">
        <v>2225</v>
      </c>
      <c r="B381">
        <v>0</v>
      </c>
      <c r="C381">
        <v>7950</v>
      </c>
    </row>
    <row r="382" spans="1:3" x14ac:dyDescent="0.25">
      <c r="A382" t="s">
        <v>2227</v>
      </c>
      <c r="B382">
        <v>0</v>
      </c>
      <c r="C382">
        <v>30800</v>
      </c>
    </row>
    <row r="383" spans="1:3" x14ac:dyDescent="0.25">
      <c r="A383" t="s">
        <v>2228</v>
      </c>
      <c r="B383">
        <v>0</v>
      </c>
      <c r="C383">
        <v>1</v>
      </c>
    </row>
    <row r="384" spans="1:3" x14ac:dyDescent="0.25">
      <c r="A384" t="s">
        <v>2229</v>
      </c>
      <c r="B384">
        <v>0</v>
      </c>
      <c r="C384">
        <v>3150</v>
      </c>
    </row>
    <row r="385" spans="1:3" x14ac:dyDescent="0.25">
      <c r="A385" t="s">
        <v>2230</v>
      </c>
      <c r="B385">
        <v>0</v>
      </c>
      <c r="C385">
        <v>600</v>
      </c>
    </row>
    <row r="386" spans="1:3" x14ac:dyDescent="0.25">
      <c r="A386" t="s">
        <v>2231</v>
      </c>
      <c r="B386">
        <v>0</v>
      </c>
      <c r="C386">
        <v>3950</v>
      </c>
    </row>
    <row r="387" spans="1:3" x14ac:dyDescent="0.25">
      <c r="A387" t="s">
        <v>2232</v>
      </c>
      <c r="B387">
        <v>0</v>
      </c>
      <c r="C387">
        <v>12750</v>
      </c>
    </row>
    <row r="388" spans="1:3" x14ac:dyDescent="0.25">
      <c r="A388" t="s">
        <v>2233</v>
      </c>
      <c r="B388">
        <v>0</v>
      </c>
      <c r="C388">
        <v>3300</v>
      </c>
    </row>
    <row r="389" spans="1:3" x14ac:dyDescent="0.25">
      <c r="A389" t="s">
        <v>2235</v>
      </c>
      <c r="B389">
        <v>0</v>
      </c>
      <c r="C389">
        <v>6300</v>
      </c>
    </row>
    <row r="390" spans="1:3" x14ac:dyDescent="0.25">
      <c r="A390" t="s">
        <v>2237</v>
      </c>
      <c r="B390">
        <v>0</v>
      </c>
      <c r="C390">
        <v>10300</v>
      </c>
    </row>
    <row r="391" spans="1:3" x14ac:dyDescent="0.25">
      <c r="A391" t="s">
        <v>2238</v>
      </c>
      <c r="B391">
        <v>0</v>
      </c>
      <c r="C391">
        <v>1</v>
      </c>
    </row>
    <row r="392" spans="1:3" x14ac:dyDescent="0.25">
      <c r="A392" t="s">
        <v>2240</v>
      </c>
      <c r="B392">
        <v>0</v>
      </c>
      <c r="C392">
        <v>2000</v>
      </c>
    </row>
    <row r="393" spans="1:3" x14ac:dyDescent="0.25">
      <c r="A393" t="s">
        <v>2243</v>
      </c>
      <c r="B393">
        <v>0</v>
      </c>
      <c r="C393">
        <v>1950</v>
      </c>
    </row>
    <row r="394" spans="1:3" x14ac:dyDescent="0.25">
      <c r="A394" t="s">
        <v>2244</v>
      </c>
      <c r="B394">
        <v>0</v>
      </c>
      <c r="C394">
        <v>1300</v>
      </c>
    </row>
    <row r="395" spans="1:3" x14ac:dyDescent="0.25">
      <c r="A395" t="s">
        <v>2245</v>
      </c>
      <c r="B395">
        <v>0</v>
      </c>
      <c r="C395">
        <v>1450</v>
      </c>
    </row>
    <row r="396" spans="1:3" x14ac:dyDescent="0.25">
      <c r="A396" t="s">
        <v>2248</v>
      </c>
      <c r="B396">
        <v>0</v>
      </c>
      <c r="C396">
        <v>8600</v>
      </c>
    </row>
    <row r="397" spans="1:3" x14ac:dyDescent="0.25">
      <c r="A397" t="s">
        <v>2249</v>
      </c>
      <c r="B397">
        <v>0</v>
      </c>
      <c r="C397">
        <v>5113.97</v>
      </c>
    </row>
    <row r="398" spans="1:3" x14ac:dyDescent="0.25">
      <c r="A398" t="s">
        <v>2250</v>
      </c>
      <c r="B398">
        <v>0</v>
      </c>
      <c r="C398">
        <v>2850</v>
      </c>
    </row>
    <row r="399" spans="1:3" x14ac:dyDescent="0.25">
      <c r="A399" t="s">
        <v>2251</v>
      </c>
      <c r="B399">
        <v>0</v>
      </c>
      <c r="C399">
        <v>4500</v>
      </c>
    </row>
    <row r="400" spans="1:3" x14ac:dyDescent="0.25">
      <c r="A400" t="s">
        <v>2252</v>
      </c>
      <c r="B400">
        <v>0</v>
      </c>
      <c r="C400">
        <v>2000</v>
      </c>
    </row>
    <row r="401" spans="1:3" x14ac:dyDescent="0.25">
      <c r="A401" t="s">
        <v>2253</v>
      </c>
      <c r="B401">
        <v>0</v>
      </c>
      <c r="C401">
        <v>2100</v>
      </c>
    </row>
    <row r="402" spans="1:3" x14ac:dyDescent="0.25">
      <c r="A402" t="s">
        <v>2255</v>
      </c>
      <c r="B402">
        <v>0</v>
      </c>
      <c r="C402">
        <v>2760</v>
      </c>
    </row>
    <row r="403" spans="1:3" x14ac:dyDescent="0.25">
      <c r="A403" t="s">
        <v>2256</v>
      </c>
      <c r="B403">
        <v>0</v>
      </c>
      <c r="C403">
        <v>2760</v>
      </c>
    </row>
    <row r="404" spans="1:3" x14ac:dyDescent="0.25">
      <c r="A404" t="s">
        <v>2257</v>
      </c>
      <c r="B404">
        <v>0</v>
      </c>
      <c r="C404">
        <v>2000</v>
      </c>
    </row>
    <row r="405" spans="1:3" x14ac:dyDescent="0.25">
      <c r="A405" t="s">
        <v>2259</v>
      </c>
      <c r="B405">
        <v>0</v>
      </c>
      <c r="C405">
        <v>3600</v>
      </c>
    </row>
    <row r="406" spans="1:3" x14ac:dyDescent="0.25">
      <c r="A406" t="s">
        <v>2260</v>
      </c>
      <c r="B406">
        <v>0</v>
      </c>
      <c r="C406">
        <v>1700</v>
      </c>
    </row>
    <row r="407" spans="1:3" x14ac:dyDescent="0.25">
      <c r="A407" t="s">
        <v>2261</v>
      </c>
      <c r="B407">
        <v>0</v>
      </c>
      <c r="C407">
        <v>1700</v>
      </c>
    </row>
    <row r="408" spans="1:3" x14ac:dyDescent="0.25">
      <c r="A408" t="s">
        <v>2262</v>
      </c>
      <c r="B408">
        <v>0</v>
      </c>
      <c r="C408">
        <v>1700</v>
      </c>
    </row>
    <row r="409" spans="1:3" x14ac:dyDescent="0.25">
      <c r="A409" t="s">
        <v>2263</v>
      </c>
      <c r="B409">
        <v>0</v>
      </c>
      <c r="C409">
        <v>2900</v>
      </c>
    </row>
    <row r="410" spans="1:3" x14ac:dyDescent="0.25">
      <c r="A410" t="s">
        <v>2264</v>
      </c>
      <c r="B410">
        <v>0</v>
      </c>
      <c r="C410">
        <v>2900</v>
      </c>
    </row>
    <row r="411" spans="1:3" x14ac:dyDescent="0.25">
      <c r="A411" t="s">
        <v>2265</v>
      </c>
      <c r="B411">
        <v>0</v>
      </c>
      <c r="C411">
        <v>2200</v>
      </c>
    </row>
    <row r="412" spans="1:3" x14ac:dyDescent="0.25">
      <c r="A412" t="s">
        <v>2266</v>
      </c>
      <c r="B412">
        <v>0</v>
      </c>
      <c r="C412">
        <v>2200</v>
      </c>
    </row>
    <row r="413" spans="1:3" x14ac:dyDescent="0.25">
      <c r="A413" t="s">
        <v>2268</v>
      </c>
      <c r="B413">
        <v>0</v>
      </c>
      <c r="C413">
        <v>2400</v>
      </c>
    </row>
    <row r="414" spans="1:3" x14ac:dyDescent="0.25">
      <c r="A414" t="s">
        <v>2269</v>
      </c>
      <c r="B414">
        <v>0</v>
      </c>
      <c r="C414">
        <v>1900</v>
      </c>
    </row>
    <row r="415" spans="1:3" x14ac:dyDescent="0.25">
      <c r="A415" t="s">
        <v>2270</v>
      </c>
      <c r="B415">
        <v>0</v>
      </c>
      <c r="C415">
        <v>1900</v>
      </c>
    </row>
    <row r="416" spans="1:3" x14ac:dyDescent="0.25">
      <c r="A416" t="s">
        <v>2271</v>
      </c>
      <c r="B416">
        <v>0</v>
      </c>
      <c r="C416">
        <v>1250</v>
      </c>
    </row>
    <row r="417" spans="1:3" x14ac:dyDescent="0.25">
      <c r="A417" t="s">
        <v>2272</v>
      </c>
      <c r="B417">
        <v>0</v>
      </c>
      <c r="C417">
        <v>1750</v>
      </c>
    </row>
    <row r="418" spans="1:3" x14ac:dyDescent="0.25">
      <c r="A418" t="s">
        <v>2273</v>
      </c>
      <c r="B418">
        <v>0</v>
      </c>
      <c r="C418">
        <v>3750</v>
      </c>
    </row>
    <row r="419" spans="1:3" x14ac:dyDescent="0.25">
      <c r="A419" t="s">
        <v>2274</v>
      </c>
      <c r="B419">
        <v>0</v>
      </c>
      <c r="C419">
        <v>2950</v>
      </c>
    </row>
    <row r="420" spans="1:3" x14ac:dyDescent="0.25">
      <c r="A420" t="s">
        <v>2275</v>
      </c>
      <c r="B420">
        <v>0</v>
      </c>
      <c r="C420">
        <v>2650</v>
      </c>
    </row>
    <row r="421" spans="1:3" x14ac:dyDescent="0.25">
      <c r="A421" t="s">
        <v>2276</v>
      </c>
      <c r="B421">
        <v>0</v>
      </c>
      <c r="C421">
        <v>1860</v>
      </c>
    </row>
    <row r="422" spans="1:3" x14ac:dyDescent="0.25">
      <c r="A422" t="s">
        <v>2277</v>
      </c>
      <c r="B422">
        <v>0</v>
      </c>
      <c r="C422">
        <v>3950</v>
      </c>
    </row>
    <row r="423" spans="1:3" x14ac:dyDescent="0.25">
      <c r="A423" t="s">
        <v>2278</v>
      </c>
      <c r="B423">
        <v>0</v>
      </c>
      <c r="C423">
        <v>3600</v>
      </c>
    </row>
    <row r="424" spans="1:3" x14ac:dyDescent="0.25">
      <c r="A424" t="s">
        <v>2279</v>
      </c>
      <c r="B424">
        <v>0</v>
      </c>
      <c r="C424">
        <v>3600</v>
      </c>
    </row>
    <row r="425" spans="1:3" x14ac:dyDescent="0.25">
      <c r="A425" t="s">
        <v>2281</v>
      </c>
      <c r="B425">
        <v>0</v>
      </c>
      <c r="C425">
        <v>2400</v>
      </c>
    </row>
    <row r="426" spans="1:3" x14ac:dyDescent="0.25">
      <c r="A426" t="s">
        <v>2282</v>
      </c>
      <c r="B426">
        <v>0</v>
      </c>
      <c r="C426">
        <v>2400</v>
      </c>
    </row>
    <row r="427" spans="1:3" x14ac:dyDescent="0.25">
      <c r="A427" t="s">
        <v>2283</v>
      </c>
      <c r="B427">
        <v>0</v>
      </c>
      <c r="C427">
        <v>2100</v>
      </c>
    </row>
    <row r="428" spans="1:3" x14ac:dyDescent="0.25">
      <c r="A428" t="s">
        <v>2284</v>
      </c>
      <c r="B428">
        <v>0</v>
      </c>
      <c r="C428">
        <v>2100</v>
      </c>
    </row>
    <row r="429" spans="1:3" x14ac:dyDescent="0.25">
      <c r="A429" t="s">
        <v>2286</v>
      </c>
      <c r="B429">
        <v>0</v>
      </c>
      <c r="C429">
        <v>3300</v>
      </c>
    </row>
    <row r="430" spans="1:3" x14ac:dyDescent="0.25">
      <c r="A430" t="s">
        <v>2287</v>
      </c>
      <c r="B430">
        <v>0</v>
      </c>
      <c r="C430">
        <v>4000</v>
      </c>
    </row>
    <row r="431" spans="1:3" x14ac:dyDescent="0.25">
      <c r="A431" t="s">
        <v>2293</v>
      </c>
      <c r="B431">
        <v>0</v>
      </c>
      <c r="C431">
        <v>1180</v>
      </c>
    </row>
    <row r="432" spans="1:3" x14ac:dyDescent="0.25">
      <c r="A432" t="s">
        <v>2294</v>
      </c>
      <c r="B432">
        <v>0</v>
      </c>
      <c r="C432">
        <v>3750</v>
      </c>
    </row>
    <row r="433" spans="1:3" x14ac:dyDescent="0.25">
      <c r="A433" t="s">
        <v>2297</v>
      </c>
      <c r="B433">
        <v>0</v>
      </c>
      <c r="C433">
        <v>2250</v>
      </c>
    </row>
    <row r="434" spans="1:3" x14ac:dyDescent="0.25">
      <c r="A434" t="s">
        <v>2302</v>
      </c>
      <c r="B434">
        <v>0</v>
      </c>
      <c r="C434">
        <v>2000</v>
      </c>
    </row>
    <row r="435" spans="1:3" x14ac:dyDescent="0.25">
      <c r="A435" t="s">
        <v>2304</v>
      </c>
      <c r="B435">
        <v>0</v>
      </c>
      <c r="C435">
        <v>2250</v>
      </c>
    </row>
    <row r="436" spans="1:3" x14ac:dyDescent="0.25">
      <c r="A436" t="s">
        <v>2305</v>
      </c>
      <c r="B436">
        <v>108</v>
      </c>
      <c r="C436">
        <v>1250</v>
      </c>
    </row>
    <row r="437" spans="1:3" x14ac:dyDescent="0.25">
      <c r="A437" t="s">
        <v>2306</v>
      </c>
      <c r="B437">
        <v>0</v>
      </c>
      <c r="C437">
        <v>1400</v>
      </c>
    </row>
    <row r="438" spans="1:3" x14ac:dyDescent="0.25">
      <c r="A438" t="s">
        <v>2308</v>
      </c>
      <c r="B438">
        <v>0</v>
      </c>
      <c r="C438">
        <v>3750</v>
      </c>
    </row>
    <row r="439" spans="1:3" x14ac:dyDescent="0.25">
      <c r="A439" t="s">
        <v>2309</v>
      </c>
      <c r="B439">
        <v>0</v>
      </c>
      <c r="C439">
        <v>3700</v>
      </c>
    </row>
    <row r="440" spans="1:3" x14ac:dyDescent="0.25">
      <c r="A440" t="s">
        <v>2311</v>
      </c>
      <c r="B440">
        <v>0</v>
      </c>
      <c r="C440">
        <v>3300</v>
      </c>
    </row>
    <row r="441" spans="1:3" x14ac:dyDescent="0.25">
      <c r="A441" t="s">
        <v>2312</v>
      </c>
      <c r="B441">
        <v>0</v>
      </c>
      <c r="C441">
        <v>1600</v>
      </c>
    </row>
    <row r="442" spans="1:3" x14ac:dyDescent="0.25">
      <c r="A442" t="s">
        <v>2313</v>
      </c>
      <c r="B442">
        <v>0</v>
      </c>
      <c r="C442">
        <v>2000</v>
      </c>
    </row>
    <row r="443" spans="1:3" x14ac:dyDescent="0.25">
      <c r="A443" t="s">
        <v>2314</v>
      </c>
      <c r="B443">
        <v>0</v>
      </c>
      <c r="C443">
        <v>4900</v>
      </c>
    </row>
    <row r="444" spans="1:3" x14ac:dyDescent="0.25">
      <c r="A444" t="s">
        <v>2316</v>
      </c>
      <c r="B444">
        <v>0</v>
      </c>
      <c r="C444">
        <v>5700</v>
      </c>
    </row>
    <row r="445" spans="1:3" x14ac:dyDescent="0.25">
      <c r="A445" t="s">
        <v>2317</v>
      </c>
      <c r="B445">
        <v>0</v>
      </c>
      <c r="C445">
        <v>1900</v>
      </c>
    </row>
    <row r="446" spans="1:3" x14ac:dyDescent="0.25">
      <c r="A446" t="s">
        <v>2318</v>
      </c>
      <c r="B446">
        <v>1</v>
      </c>
      <c r="C446">
        <v>5300</v>
      </c>
    </row>
    <row r="447" spans="1:3" x14ac:dyDescent="0.25">
      <c r="A447" t="s">
        <v>2320</v>
      </c>
      <c r="B447">
        <v>0</v>
      </c>
      <c r="C447">
        <v>5200</v>
      </c>
    </row>
    <row r="448" spans="1:3" x14ac:dyDescent="0.25">
      <c r="A448" t="s">
        <v>2326</v>
      </c>
      <c r="B448">
        <v>0</v>
      </c>
      <c r="C448">
        <v>3000</v>
      </c>
    </row>
    <row r="449" spans="1:3" x14ac:dyDescent="0.25">
      <c r="A449" t="s">
        <v>2328</v>
      </c>
      <c r="B449">
        <v>0</v>
      </c>
      <c r="C449">
        <v>4450</v>
      </c>
    </row>
    <row r="450" spans="1:3" x14ac:dyDescent="0.25">
      <c r="A450" t="s">
        <v>2329</v>
      </c>
      <c r="B450">
        <v>0</v>
      </c>
      <c r="C450">
        <v>2700</v>
      </c>
    </row>
    <row r="451" spans="1:3" x14ac:dyDescent="0.25">
      <c r="A451" t="s">
        <v>2330</v>
      </c>
      <c r="B451">
        <v>0</v>
      </c>
      <c r="C451">
        <v>1700</v>
      </c>
    </row>
    <row r="452" spans="1:3" x14ac:dyDescent="0.25">
      <c r="A452" t="s">
        <v>2331</v>
      </c>
      <c r="B452">
        <v>0</v>
      </c>
      <c r="C452">
        <v>1700</v>
      </c>
    </row>
    <row r="453" spans="1:3" x14ac:dyDescent="0.25">
      <c r="A453" t="s">
        <v>2332</v>
      </c>
      <c r="B453">
        <v>76.7</v>
      </c>
      <c r="C453">
        <v>1250</v>
      </c>
    </row>
    <row r="454" spans="1:3" x14ac:dyDescent="0.25">
      <c r="A454" t="s">
        <v>2333</v>
      </c>
      <c r="B454">
        <v>0</v>
      </c>
      <c r="C454">
        <v>1650</v>
      </c>
    </row>
    <row r="455" spans="1:3" x14ac:dyDescent="0.25">
      <c r="A455" t="s">
        <v>2334</v>
      </c>
      <c r="B455">
        <v>0</v>
      </c>
      <c r="C455">
        <v>1650</v>
      </c>
    </row>
    <row r="456" spans="1:3" x14ac:dyDescent="0.25">
      <c r="A456" t="s">
        <v>2335</v>
      </c>
      <c r="B456">
        <v>0</v>
      </c>
      <c r="C456">
        <v>950</v>
      </c>
    </row>
    <row r="457" spans="1:3" x14ac:dyDescent="0.25">
      <c r="A457" t="s">
        <v>2336</v>
      </c>
      <c r="B457">
        <v>0</v>
      </c>
      <c r="C457">
        <v>260</v>
      </c>
    </row>
    <row r="458" spans="1:3" x14ac:dyDescent="0.25">
      <c r="A458" t="s">
        <v>2340</v>
      </c>
      <c r="B458">
        <v>0</v>
      </c>
      <c r="C458">
        <v>2950</v>
      </c>
    </row>
    <row r="459" spans="1:3" x14ac:dyDescent="0.25">
      <c r="A459" t="s">
        <v>2348</v>
      </c>
      <c r="B459">
        <v>0</v>
      </c>
      <c r="C459">
        <v>2900</v>
      </c>
    </row>
    <row r="460" spans="1:3" x14ac:dyDescent="0.25">
      <c r="A460" t="s">
        <v>2350</v>
      </c>
      <c r="B460">
        <v>0</v>
      </c>
      <c r="C460">
        <v>21450</v>
      </c>
    </row>
    <row r="461" spans="1:3" x14ac:dyDescent="0.25">
      <c r="A461" t="s">
        <v>2359</v>
      </c>
      <c r="B461">
        <v>0</v>
      </c>
      <c r="C461">
        <v>7200</v>
      </c>
    </row>
    <row r="462" spans="1:3" x14ac:dyDescent="0.25">
      <c r="A462" t="s">
        <v>2362</v>
      </c>
      <c r="B462">
        <v>0</v>
      </c>
      <c r="C462">
        <v>6500</v>
      </c>
    </row>
    <row r="463" spans="1:3" x14ac:dyDescent="0.25">
      <c r="A463" t="s">
        <v>2363</v>
      </c>
      <c r="B463">
        <v>0</v>
      </c>
      <c r="C463">
        <v>7400</v>
      </c>
    </row>
    <row r="464" spans="1:3" x14ac:dyDescent="0.25">
      <c r="A464" t="s">
        <v>2364</v>
      </c>
      <c r="B464">
        <v>0</v>
      </c>
      <c r="C464">
        <v>8500</v>
      </c>
    </row>
    <row r="465" spans="1:3" x14ac:dyDescent="0.25">
      <c r="A465" t="s">
        <v>2366</v>
      </c>
      <c r="B465">
        <v>0</v>
      </c>
      <c r="C465">
        <v>22150</v>
      </c>
    </row>
    <row r="466" spans="1:3" x14ac:dyDescent="0.25">
      <c r="A466" t="s">
        <v>2367</v>
      </c>
      <c r="B466">
        <v>0</v>
      </c>
      <c r="C466">
        <v>10689</v>
      </c>
    </row>
    <row r="467" spans="1:3" x14ac:dyDescent="0.25">
      <c r="A467" t="s">
        <v>2368</v>
      </c>
      <c r="B467">
        <v>0</v>
      </c>
      <c r="C467">
        <v>15600</v>
      </c>
    </row>
    <row r="468" spans="1:3" x14ac:dyDescent="0.25">
      <c r="A468" t="s">
        <v>2370</v>
      </c>
      <c r="B468">
        <v>0</v>
      </c>
      <c r="C468">
        <v>9600</v>
      </c>
    </row>
    <row r="469" spans="1:3" x14ac:dyDescent="0.25">
      <c r="A469" t="s">
        <v>2377</v>
      </c>
      <c r="B469">
        <v>0</v>
      </c>
      <c r="C469">
        <v>900</v>
      </c>
    </row>
    <row r="470" spans="1:3" x14ac:dyDescent="0.25">
      <c r="A470" t="s">
        <v>2387</v>
      </c>
      <c r="B470">
        <v>0</v>
      </c>
      <c r="C470">
        <v>4026</v>
      </c>
    </row>
    <row r="471" spans="1:3" x14ac:dyDescent="0.25">
      <c r="A471" t="s">
        <v>2399</v>
      </c>
      <c r="B471">
        <v>0</v>
      </c>
      <c r="C471">
        <v>5250</v>
      </c>
    </row>
    <row r="472" spans="1:3" x14ac:dyDescent="0.25">
      <c r="A472" t="s">
        <v>2401</v>
      </c>
      <c r="B472">
        <v>0</v>
      </c>
      <c r="C472">
        <v>5250</v>
      </c>
    </row>
    <row r="473" spans="1:3" x14ac:dyDescent="0.25">
      <c r="A473" t="s">
        <v>2402</v>
      </c>
      <c r="B473">
        <v>0</v>
      </c>
      <c r="C473">
        <v>7000</v>
      </c>
    </row>
    <row r="474" spans="1:3" x14ac:dyDescent="0.25">
      <c r="A474" t="s">
        <v>2404</v>
      </c>
      <c r="B474">
        <v>0</v>
      </c>
      <c r="C474">
        <v>3600</v>
      </c>
    </row>
    <row r="475" spans="1:3" x14ac:dyDescent="0.25">
      <c r="A475" t="s">
        <v>2410</v>
      </c>
      <c r="B475">
        <v>0</v>
      </c>
      <c r="C475">
        <v>21000</v>
      </c>
    </row>
    <row r="476" spans="1:3" x14ac:dyDescent="0.25">
      <c r="A476" t="s">
        <v>2412</v>
      </c>
      <c r="B476">
        <v>0</v>
      </c>
      <c r="C476">
        <v>260</v>
      </c>
    </row>
    <row r="477" spans="1:3" x14ac:dyDescent="0.25">
      <c r="A477" t="s">
        <v>2413</v>
      </c>
      <c r="B477">
        <v>0</v>
      </c>
      <c r="C477">
        <v>240</v>
      </c>
    </row>
    <row r="478" spans="1:3" x14ac:dyDescent="0.25">
      <c r="A478" t="s">
        <v>2414</v>
      </c>
      <c r="B478">
        <v>0</v>
      </c>
      <c r="C478">
        <v>3600</v>
      </c>
    </row>
    <row r="479" spans="1:3" x14ac:dyDescent="0.25">
      <c r="A479" t="s">
        <v>2415</v>
      </c>
      <c r="B479">
        <v>0</v>
      </c>
      <c r="C479">
        <v>1240</v>
      </c>
    </row>
    <row r="480" spans="1:3" x14ac:dyDescent="0.25">
      <c r="A480" t="s">
        <v>2416</v>
      </c>
      <c r="B480">
        <v>0</v>
      </c>
      <c r="C480">
        <v>1350</v>
      </c>
    </row>
    <row r="481" spans="1:3" x14ac:dyDescent="0.25">
      <c r="A481" t="s">
        <v>2417</v>
      </c>
      <c r="B481">
        <v>0</v>
      </c>
      <c r="C481">
        <v>1500</v>
      </c>
    </row>
    <row r="482" spans="1:3" x14ac:dyDescent="0.25">
      <c r="A482" t="s">
        <v>2419</v>
      </c>
      <c r="B482">
        <v>0</v>
      </c>
      <c r="C482">
        <v>1100</v>
      </c>
    </row>
    <row r="483" spans="1:3" x14ac:dyDescent="0.25">
      <c r="A483" t="s">
        <v>2420</v>
      </c>
      <c r="B483">
        <v>0</v>
      </c>
      <c r="C483">
        <v>8950</v>
      </c>
    </row>
    <row r="484" spans="1:3" x14ac:dyDescent="0.25">
      <c r="A484" t="s">
        <v>2422</v>
      </c>
      <c r="B484">
        <v>0</v>
      </c>
      <c r="C484">
        <v>1650</v>
      </c>
    </row>
    <row r="485" spans="1:3" x14ac:dyDescent="0.25">
      <c r="A485" t="s">
        <v>2423</v>
      </c>
      <c r="B485">
        <v>0</v>
      </c>
      <c r="C485">
        <v>1650</v>
      </c>
    </row>
    <row r="486" spans="1:3" x14ac:dyDescent="0.25">
      <c r="A486" t="s">
        <v>2424</v>
      </c>
      <c r="B486">
        <v>0</v>
      </c>
      <c r="C486">
        <v>1450</v>
      </c>
    </row>
    <row r="487" spans="1:3" x14ac:dyDescent="0.25">
      <c r="A487" t="s">
        <v>2426</v>
      </c>
      <c r="B487">
        <v>0</v>
      </c>
      <c r="C487">
        <v>6200</v>
      </c>
    </row>
    <row r="488" spans="1:3" x14ac:dyDescent="0.25">
      <c r="A488" t="s">
        <v>2428</v>
      </c>
      <c r="B488">
        <v>0</v>
      </c>
      <c r="C488">
        <v>2200</v>
      </c>
    </row>
    <row r="489" spans="1:3" x14ac:dyDescent="0.25">
      <c r="A489" t="s">
        <v>2430</v>
      </c>
      <c r="B489">
        <v>0</v>
      </c>
      <c r="C489">
        <v>7400</v>
      </c>
    </row>
    <row r="490" spans="1:3" x14ac:dyDescent="0.25">
      <c r="A490" t="s">
        <v>2431</v>
      </c>
      <c r="B490">
        <v>0</v>
      </c>
      <c r="C490">
        <v>1050</v>
      </c>
    </row>
    <row r="491" spans="1:3" x14ac:dyDescent="0.25">
      <c r="A491" t="s">
        <v>2432</v>
      </c>
      <c r="B491">
        <v>0</v>
      </c>
      <c r="C491">
        <v>27600</v>
      </c>
    </row>
    <row r="492" spans="1:3" x14ac:dyDescent="0.25">
      <c r="A492" t="s">
        <v>2433</v>
      </c>
      <c r="B492">
        <v>0</v>
      </c>
      <c r="C492">
        <v>32850</v>
      </c>
    </row>
    <row r="493" spans="1:3" x14ac:dyDescent="0.25">
      <c r="A493" t="s">
        <v>2444</v>
      </c>
      <c r="B493">
        <v>0</v>
      </c>
      <c r="C493">
        <v>19000</v>
      </c>
    </row>
    <row r="494" spans="1:3" x14ac:dyDescent="0.25">
      <c r="A494" t="s">
        <v>2448</v>
      </c>
      <c r="B494">
        <v>0</v>
      </c>
      <c r="C494">
        <v>13750</v>
      </c>
    </row>
    <row r="495" spans="1:3" x14ac:dyDescent="0.25">
      <c r="A495" t="s">
        <v>2451</v>
      </c>
      <c r="B495">
        <v>0</v>
      </c>
      <c r="C495">
        <v>14700</v>
      </c>
    </row>
    <row r="496" spans="1:3" x14ac:dyDescent="0.25">
      <c r="A496" t="s">
        <v>2452</v>
      </c>
      <c r="B496">
        <v>0</v>
      </c>
      <c r="C496">
        <v>1660</v>
      </c>
    </row>
    <row r="497" spans="1:3" x14ac:dyDescent="0.25">
      <c r="A497" t="s">
        <v>2453</v>
      </c>
      <c r="B497">
        <v>4</v>
      </c>
      <c r="C497">
        <v>3200</v>
      </c>
    </row>
    <row r="498" spans="1:3" x14ac:dyDescent="0.25">
      <c r="A498" t="s">
        <v>2454</v>
      </c>
      <c r="B498">
        <v>0</v>
      </c>
      <c r="C498">
        <v>11500</v>
      </c>
    </row>
    <row r="499" spans="1:3" x14ac:dyDescent="0.25">
      <c r="A499" t="s">
        <v>2455</v>
      </c>
      <c r="B499">
        <v>0</v>
      </c>
      <c r="C499">
        <v>850</v>
      </c>
    </row>
    <row r="500" spans="1:3" x14ac:dyDescent="0.25">
      <c r="A500" t="s">
        <v>2457</v>
      </c>
      <c r="B500">
        <v>0</v>
      </c>
      <c r="C500">
        <v>1200</v>
      </c>
    </row>
    <row r="501" spans="1:3" x14ac:dyDescent="0.25">
      <c r="A501" t="s">
        <v>2458</v>
      </c>
      <c r="B501">
        <v>0</v>
      </c>
      <c r="C501">
        <v>3000</v>
      </c>
    </row>
    <row r="502" spans="1:3" x14ac:dyDescent="0.25">
      <c r="A502" t="s">
        <v>2459</v>
      </c>
      <c r="B502">
        <v>0</v>
      </c>
      <c r="C502">
        <v>4000</v>
      </c>
    </row>
    <row r="503" spans="1:3" x14ac:dyDescent="0.25">
      <c r="A503" t="s">
        <v>2460</v>
      </c>
      <c r="B503">
        <v>0</v>
      </c>
      <c r="C503">
        <v>5000</v>
      </c>
    </row>
    <row r="504" spans="1:3" x14ac:dyDescent="0.25">
      <c r="A504" t="s">
        <v>2461</v>
      </c>
      <c r="B504">
        <v>0</v>
      </c>
      <c r="C504">
        <v>2500</v>
      </c>
    </row>
    <row r="505" spans="1:3" x14ac:dyDescent="0.25">
      <c r="A505" t="s">
        <v>2462</v>
      </c>
      <c r="B505">
        <v>0</v>
      </c>
      <c r="C505">
        <v>12550</v>
      </c>
    </row>
    <row r="506" spans="1:3" x14ac:dyDescent="0.25">
      <c r="A506" t="s">
        <v>2465</v>
      </c>
      <c r="B506">
        <v>0</v>
      </c>
      <c r="C506">
        <v>2300</v>
      </c>
    </row>
    <row r="507" spans="1:3" x14ac:dyDescent="0.25">
      <c r="A507" t="s">
        <v>2466</v>
      </c>
      <c r="B507">
        <v>0</v>
      </c>
      <c r="C507">
        <v>20250</v>
      </c>
    </row>
    <row r="508" spans="1:3" x14ac:dyDescent="0.25">
      <c r="A508" t="s">
        <v>2468</v>
      </c>
      <c r="B508">
        <v>0</v>
      </c>
      <c r="C508">
        <v>2750</v>
      </c>
    </row>
    <row r="509" spans="1:3" x14ac:dyDescent="0.25">
      <c r="A509" t="s">
        <v>2469</v>
      </c>
      <c r="B509">
        <v>0</v>
      </c>
      <c r="C509">
        <v>700</v>
      </c>
    </row>
    <row r="510" spans="1:3" x14ac:dyDescent="0.25">
      <c r="A510" t="s">
        <v>2472</v>
      </c>
      <c r="B510">
        <v>0</v>
      </c>
      <c r="C510">
        <v>900</v>
      </c>
    </row>
    <row r="511" spans="1:3" x14ac:dyDescent="0.25">
      <c r="A511" t="s">
        <v>2473</v>
      </c>
      <c r="B511">
        <v>0</v>
      </c>
      <c r="C511">
        <v>750</v>
      </c>
    </row>
    <row r="512" spans="1:3" x14ac:dyDescent="0.25">
      <c r="A512" t="s">
        <v>2474</v>
      </c>
      <c r="B512">
        <v>0</v>
      </c>
      <c r="C512">
        <v>1950</v>
      </c>
    </row>
    <row r="513" spans="1:3" x14ac:dyDescent="0.25">
      <c r="A513" t="s">
        <v>2475</v>
      </c>
      <c r="B513">
        <v>0</v>
      </c>
      <c r="C513">
        <v>4350</v>
      </c>
    </row>
    <row r="514" spans="1:3" x14ac:dyDescent="0.25">
      <c r="A514" t="s">
        <v>2476</v>
      </c>
      <c r="B514">
        <v>0</v>
      </c>
      <c r="C514">
        <v>5800</v>
      </c>
    </row>
    <row r="515" spans="1:3" x14ac:dyDescent="0.25">
      <c r="A515" t="s">
        <v>2477</v>
      </c>
      <c r="B515">
        <v>0</v>
      </c>
      <c r="C515">
        <v>7250</v>
      </c>
    </row>
    <row r="516" spans="1:3" x14ac:dyDescent="0.25">
      <c r="A516" t="s">
        <v>2478</v>
      </c>
      <c r="B516">
        <v>0</v>
      </c>
      <c r="C516">
        <v>6350</v>
      </c>
    </row>
    <row r="517" spans="1:3" x14ac:dyDescent="0.25">
      <c r="A517" t="s">
        <v>2479</v>
      </c>
      <c r="B517">
        <v>0</v>
      </c>
      <c r="C517">
        <v>550</v>
      </c>
    </row>
    <row r="518" spans="1:3" x14ac:dyDescent="0.25">
      <c r="A518" t="s">
        <v>2482</v>
      </c>
      <c r="B518">
        <v>0</v>
      </c>
      <c r="C518">
        <v>11500</v>
      </c>
    </row>
    <row r="519" spans="1:3" x14ac:dyDescent="0.25">
      <c r="A519" t="s">
        <v>2484</v>
      </c>
      <c r="B519">
        <v>0</v>
      </c>
      <c r="C519">
        <v>1250</v>
      </c>
    </row>
    <row r="520" spans="1:3" x14ac:dyDescent="0.25">
      <c r="A520" t="s">
        <v>2487</v>
      </c>
      <c r="B520">
        <v>0</v>
      </c>
      <c r="C520">
        <v>1200</v>
      </c>
    </row>
    <row r="521" spans="1:3" x14ac:dyDescent="0.25">
      <c r="A521" t="s">
        <v>2490</v>
      </c>
      <c r="B521">
        <v>0</v>
      </c>
      <c r="C521">
        <v>550</v>
      </c>
    </row>
    <row r="522" spans="1:3" x14ac:dyDescent="0.25">
      <c r="A522" t="s">
        <v>2492</v>
      </c>
      <c r="B522">
        <v>0</v>
      </c>
      <c r="C522">
        <v>1350</v>
      </c>
    </row>
    <row r="523" spans="1:3" x14ac:dyDescent="0.25">
      <c r="A523" t="s">
        <v>2493</v>
      </c>
      <c r="B523">
        <v>0</v>
      </c>
      <c r="C523">
        <v>350</v>
      </c>
    </row>
    <row r="524" spans="1:3" x14ac:dyDescent="0.25">
      <c r="A524" t="s">
        <v>2496</v>
      </c>
      <c r="B524">
        <v>0</v>
      </c>
      <c r="C524">
        <v>2950</v>
      </c>
    </row>
    <row r="525" spans="1:3" x14ac:dyDescent="0.25">
      <c r="A525" t="s">
        <v>2498</v>
      </c>
      <c r="B525">
        <v>0</v>
      </c>
      <c r="C525">
        <v>1</v>
      </c>
    </row>
    <row r="526" spans="1:3" x14ac:dyDescent="0.25">
      <c r="A526" t="s">
        <v>2499</v>
      </c>
      <c r="B526">
        <v>0</v>
      </c>
      <c r="C526">
        <v>500</v>
      </c>
    </row>
    <row r="527" spans="1:3" x14ac:dyDescent="0.25">
      <c r="A527" t="s">
        <v>2500</v>
      </c>
      <c r="B527">
        <v>0</v>
      </c>
      <c r="C527">
        <v>500</v>
      </c>
    </row>
    <row r="528" spans="1:3" x14ac:dyDescent="0.25">
      <c r="A528" t="s">
        <v>2501</v>
      </c>
      <c r="B528">
        <v>0</v>
      </c>
      <c r="C528">
        <v>1</v>
      </c>
    </row>
    <row r="529" spans="1:3" x14ac:dyDescent="0.25">
      <c r="A529" t="s">
        <v>2503</v>
      </c>
      <c r="B529">
        <v>0</v>
      </c>
      <c r="C529">
        <v>3100</v>
      </c>
    </row>
    <row r="530" spans="1:3" x14ac:dyDescent="0.25">
      <c r="A530" t="s">
        <v>2505</v>
      </c>
      <c r="B530">
        <v>0</v>
      </c>
      <c r="C530">
        <v>8600</v>
      </c>
    </row>
    <row r="531" spans="1:3" x14ac:dyDescent="0.25">
      <c r="A531" t="s">
        <v>2506</v>
      </c>
      <c r="B531">
        <v>0</v>
      </c>
      <c r="C531">
        <v>1</v>
      </c>
    </row>
    <row r="532" spans="1:3" x14ac:dyDescent="0.25">
      <c r="A532" t="s">
        <v>2507</v>
      </c>
      <c r="B532">
        <v>0</v>
      </c>
      <c r="C532">
        <v>700</v>
      </c>
    </row>
    <row r="533" spans="1:3" x14ac:dyDescent="0.25">
      <c r="A533" t="s">
        <v>2511</v>
      </c>
      <c r="B533">
        <v>0</v>
      </c>
      <c r="C533">
        <v>1</v>
      </c>
    </row>
    <row r="534" spans="1:3" x14ac:dyDescent="0.25">
      <c r="A534" t="s">
        <v>2513</v>
      </c>
      <c r="B534">
        <v>0</v>
      </c>
      <c r="C534">
        <v>6000</v>
      </c>
    </row>
    <row r="535" spans="1:3" x14ac:dyDescent="0.25">
      <c r="A535" t="s">
        <v>2515</v>
      </c>
      <c r="B535">
        <v>0</v>
      </c>
      <c r="C535">
        <v>170</v>
      </c>
    </row>
    <row r="536" spans="1:3" x14ac:dyDescent="0.25">
      <c r="A536" t="s">
        <v>2517</v>
      </c>
      <c r="B536">
        <v>0</v>
      </c>
      <c r="C536">
        <v>700</v>
      </c>
    </row>
    <row r="537" spans="1:3" x14ac:dyDescent="0.25">
      <c r="A537" t="s">
        <v>2520</v>
      </c>
      <c r="B537">
        <v>0</v>
      </c>
      <c r="C537">
        <v>12200</v>
      </c>
    </row>
    <row r="538" spans="1:3" x14ac:dyDescent="0.25">
      <c r="A538" t="s">
        <v>2522</v>
      </c>
      <c r="B538">
        <v>0</v>
      </c>
      <c r="C538">
        <v>17350</v>
      </c>
    </row>
    <row r="539" spans="1:3" x14ac:dyDescent="0.25">
      <c r="A539" t="s">
        <v>2525</v>
      </c>
      <c r="B539">
        <v>0</v>
      </c>
      <c r="C539">
        <v>850</v>
      </c>
    </row>
    <row r="540" spans="1:3" x14ac:dyDescent="0.25">
      <c r="A540" t="s">
        <v>2528</v>
      </c>
      <c r="B540">
        <v>0</v>
      </c>
      <c r="C540">
        <v>550</v>
      </c>
    </row>
    <row r="541" spans="1:3" x14ac:dyDescent="0.25">
      <c r="A541" t="s">
        <v>2530</v>
      </c>
      <c r="B541">
        <v>0</v>
      </c>
      <c r="C541">
        <v>500</v>
      </c>
    </row>
    <row r="542" spans="1:3" x14ac:dyDescent="0.25">
      <c r="A542" t="s">
        <v>2531</v>
      </c>
      <c r="B542">
        <v>0</v>
      </c>
      <c r="C542">
        <v>5250</v>
      </c>
    </row>
    <row r="543" spans="1:3" x14ac:dyDescent="0.25">
      <c r="A543" t="s">
        <v>2532</v>
      </c>
      <c r="B543">
        <v>0</v>
      </c>
      <c r="C543">
        <v>200</v>
      </c>
    </row>
    <row r="544" spans="1:3" x14ac:dyDescent="0.25">
      <c r="A544" t="s">
        <v>2534</v>
      </c>
      <c r="B544">
        <v>0</v>
      </c>
      <c r="C544">
        <v>8000</v>
      </c>
    </row>
    <row r="545" spans="1:3" x14ac:dyDescent="0.25">
      <c r="A545" t="s">
        <v>2535</v>
      </c>
      <c r="B545">
        <v>0</v>
      </c>
      <c r="C545">
        <v>720</v>
      </c>
    </row>
    <row r="546" spans="1:3" x14ac:dyDescent="0.25">
      <c r="A546" t="s">
        <v>2539</v>
      </c>
      <c r="B546">
        <v>0</v>
      </c>
      <c r="C546">
        <v>1</v>
      </c>
    </row>
    <row r="547" spans="1:3" x14ac:dyDescent="0.25">
      <c r="A547" t="s">
        <v>2541</v>
      </c>
      <c r="B547">
        <v>0</v>
      </c>
      <c r="C547">
        <v>5000</v>
      </c>
    </row>
    <row r="548" spans="1:3" x14ac:dyDescent="0.25">
      <c r="A548" t="s">
        <v>2542</v>
      </c>
      <c r="B548">
        <v>0</v>
      </c>
      <c r="C548">
        <v>1</v>
      </c>
    </row>
    <row r="549" spans="1:3" x14ac:dyDescent="0.25">
      <c r="A549" t="s">
        <v>2543</v>
      </c>
      <c r="B549">
        <v>2983.9</v>
      </c>
      <c r="C549">
        <v>3250</v>
      </c>
    </row>
    <row r="550" spans="1:3" x14ac:dyDescent="0.25">
      <c r="A550" t="s">
        <v>2546</v>
      </c>
      <c r="B550">
        <v>0</v>
      </c>
      <c r="C550">
        <v>700</v>
      </c>
    </row>
    <row r="551" spans="1:3" x14ac:dyDescent="0.25">
      <c r="A551" t="s">
        <v>2547</v>
      </c>
      <c r="B551">
        <v>0</v>
      </c>
      <c r="C551">
        <v>1</v>
      </c>
    </row>
    <row r="552" spans="1:3" x14ac:dyDescent="0.25">
      <c r="A552" t="s">
        <v>2548</v>
      </c>
      <c r="B552">
        <v>0</v>
      </c>
      <c r="C552">
        <v>1100</v>
      </c>
    </row>
    <row r="553" spans="1:3" x14ac:dyDescent="0.25">
      <c r="A553" t="s">
        <v>2549</v>
      </c>
      <c r="B553">
        <v>0</v>
      </c>
      <c r="C553">
        <v>700</v>
      </c>
    </row>
    <row r="554" spans="1:3" x14ac:dyDescent="0.25">
      <c r="A554" t="s">
        <v>2550</v>
      </c>
      <c r="B554">
        <v>0</v>
      </c>
      <c r="C554">
        <v>1300</v>
      </c>
    </row>
    <row r="555" spans="1:3" x14ac:dyDescent="0.25">
      <c r="A555" t="s">
        <v>2552</v>
      </c>
      <c r="B555">
        <v>0</v>
      </c>
      <c r="C555">
        <v>13650</v>
      </c>
    </row>
    <row r="556" spans="1:3" x14ac:dyDescent="0.25">
      <c r="A556" t="s">
        <v>2553</v>
      </c>
      <c r="B556">
        <v>0</v>
      </c>
      <c r="C556">
        <v>3000</v>
      </c>
    </row>
    <row r="557" spans="1:3" x14ac:dyDescent="0.25">
      <c r="A557" t="s">
        <v>2554</v>
      </c>
      <c r="B557">
        <v>0</v>
      </c>
      <c r="C557">
        <v>400</v>
      </c>
    </row>
    <row r="558" spans="1:3" x14ac:dyDescent="0.25">
      <c r="A558" t="s">
        <v>2556</v>
      </c>
      <c r="B558">
        <v>0</v>
      </c>
      <c r="C558">
        <v>7400</v>
      </c>
    </row>
    <row r="559" spans="1:3" x14ac:dyDescent="0.25">
      <c r="A559" t="s">
        <v>2557</v>
      </c>
      <c r="B559">
        <v>0</v>
      </c>
      <c r="C559">
        <v>11250</v>
      </c>
    </row>
    <row r="560" spans="1:3" x14ac:dyDescent="0.25">
      <c r="A560" t="s">
        <v>2558</v>
      </c>
      <c r="B560">
        <v>0</v>
      </c>
      <c r="C560">
        <v>620</v>
      </c>
    </row>
    <row r="561" spans="1:3" x14ac:dyDescent="0.25">
      <c r="A561" t="s">
        <v>2559</v>
      </c>
      <c r="B561">
        <v>0</v>
      </c>
      <c r="C561">
        <v>30000</v>
      </c>
    </row>
    <row r="562" spans="1:3" x14ac:dyDescent="0.25">
      <c r="A562" t="s">
        <v>2561</v>
      </c>
      <c r="B562">
        <v>0</v>
      </c>
      <c r="C562">
        <v>36250</v>
      </c>
    </row>
    <row r="563" spans="1:3" x14ac:dyDescent="0.25">
      <c r="A563" t="s">
        <v>2563</v>
      </c>
      <c r="B563">
        <v>0</v>
      </c>
      <c r="C563">
        <v>2200</v>
      </c>
    </row>
    <row r="564" spans="1:3" x14ac:dyDescent="0.25">
      <c r="A564" t="s">
        <v>2564</v>
      </c>
      <c r="B564">
        <v>0</v>
      </c>
      <c r="C564">
        <v>3700</v>
      </c>
    </row>
    <row r="565" spans="1:3" x14ac:dyDescent="0.25">
      <c r="A565" t="s">
        <v>2565</v>
      </c>
      <c r="B565">
        <v>0</v>
      </c>
      <c r="C565">
        <v>1000</v>
      </c>
    </row>
    <row r="566" spans="1:3" x14ac:dyDescent="0.25">
      <c r="A566" t="s">
        <v>2566</v>
      </c>
      <c r="B566">
        <v>0</v>
      </c>
      <c r="C566">
        <v>170</v>
      </c>
    </row>
    <row r="567" spans="1:3" x14ac:dyDescent="0.25">
      <c r="A567" t="s">
        <v>2567</v>
      </c>
      <c r="B567">
        <v>0</v>
      </c>
      <c r="C567">
        <v>280</v>
      </c>
    </row>
    <row r="568" spans="1:3" x14ac:dyDescent="0.25">
      <c r="A568" t="s">
        <v>2569</v>
      </c>
      <c r="B568">
        <v>0</v>
      </c>
      <c r="C568">
        <v>17500</v>
      </c>
    </row>
    <row r="569" spans="1:3" x14ac:dyDescent="0.25">
      <c r="A569" t="s">
        <v>2570</v>
      </c>
      <c r="B569">
        <v>0</v>
      </c>
      <c r="C569">
        <v>150</v>
      </c>
    </row>
    <row r="570" spans="1:3" x14ac:dyDescent="0.25">
      <c r="A570" t="s">
        <v>2572</v>
      </c>
      <c r="B570">
        <v>0</v>
      </c>
      <c r="C570">
        <v>700</v>
      </c>
    </row>
    <row r="571" spans="1:3" x14ac:dyDescent="0.25">
      <c r="A571" t="s">
        <v>2574</v>
      </c>
      <c r="B571">
        <v>0</v>
      </c>
      <c r="C571">
        <v>950</v>
      </c>
    </row>
    <row r="572" spans="1:3" x14ac:dyDescent="0.25">
      <c r="A572" t="s">
        <v>2576</v>
      </c>
      <c r="B572">
        <v>0</v>
      </c>
      <c r="C572">
        <v>1100</v>
      </c>
    </row>
    <row r="573" spans="1:3" x14ac:dyDescent="0.25">
      <c r="A573" t="s">
        <v>2580</v>
      </c>
      <c r="B573">
        <v>0</v>
      </c>
      <c r="C573">
        <v>380</v>
      </c>
    </row>
    <row r="574" spans="1:3" x14ac:dyDescent="0.25">
      <c r="A574" t="s">
        <v>2581</v>
      </c>
      <c r="B574">
        <v>0</v>
      </c>
      <c r="C574">
        <v>1700</v>
      </c>
    </row>
    <row r="575" spans="1:3" x14ac:dyDescent="0.25">
      <c r="A575" t="s">
        <v>2582</v>
      </c>
      <c r="B575">
        <v>0</v>
      </c>
      <c r="C575">
        <v>1100</v>
      </c>
    </row>
    <row r="576" spans="1:3" x14ac:dyDescent="0.25">
      <c r="A576" t="s">
        <v>2583</v>
      </c>
      <c r="B576">
        <v>0</v>
      </c>
      <c r="C576">
        <v>1700</v>
      </c>
    </row>
    <row r="577" spans="1:3" x14ac:dyDescent="0.25">
      <c r="A577" t="s">
        <v>2584</v>
      </c>
      <c r="B577">
        <v>0</v>
      </c>
      <c r="C577">
        <v>720</v>
      </c>
    </row>
    <row r="578" spans="1:3" x14ac:dyDescent="0.25">
      <c r="A578" t="s">
        <v>2585</v>
      </c>
      <c r="B578">
        <v>0</v>
      </c>
      <c r="C578">
        <v>4900</v>
      </c>
    </row>
    <row r="579" spans="1:3" x14ac:dyDescent="0.25">
      <c r="A579" t="s">
        <v>2587</v>
      </c>
      <c r="B579">
        <v>0</v>
      </c>
      <c r="C579">
        <v>9500</v>
      </c>
    </row>
    <row r="580" spans="1:3" x14ac:dyDescent="0.25">
      <c r="A580" t="s">
        <v>2588</v>
      </c>
      <c r="B580">
        <v>0</v>
      </c>
      <c r="C580">
        <v>7750</v>
      </c>
    </row>
    <row r="581" spans="1:3" x14ac:dyDescent="0.25">
      <c r="A581" t="s">
        <v>2589</v>
      </c>
      <c r="B581">
        <v>0</v>
      </c>
      <c r="C581">
        <v>510</v>
      </c>
    </row>
    <row r="582" spans="1:3" x14ac:dyDescent="0.25">
      <c r="A582" t="s">
        <v>2590</v>
      </c>
      <c r="B582">
        <v>0</v>
      </c>
      <c r="C582">
        <v>2600</v>
      </c>
    </row>
    <row r="583" spans="1:3" x14ac:dyDescent="0.25">
      <c r="A583" t="s">
        <v>2591</v>
      </c>
      <c r="B583">
        <v>0</v>
      </c>
      <c r="C583">
        <v>15500</v>
      </c>
    </row>
    <row r="584" spans="1:3" x14ac:dyDescent="0.25">
      <c r="A584" t="s">
        <v>2593</v>
      </c>
      <c r="B584">
        <v>0</v>
      </c>
      <c r="C584">
        <v>2350</v>
      </c>
    </row>
    <row r="585" spans="1:3" x14ac:dyDescent="0.25">
      <c r="A585" t="s">
        <v>2594</v>
      </c>
      <c r="B585">
        <v>0</v>
      </c>
      <c r="C585">
        <v>5100</v>
      </c>
    </row>
    <row r="586" spans="1:3" x14ac:dyDescent="0.25">
      <c r="A586" t="s">
        <v>2596</v>
      </c>
      <c r="B586">
        <v>0</v>
      </c>
      <c r="C586">
        <v>350</v>
      </c>
    </row>
    <row r="587" spans="1:3" x14ac:dyDescent="0.25">
      <c r="A587" t="s">
        <v>2597</v>
      </c>
      <c r="B587">
        <v>0</v>
      </c>
      <c r="C587">
        <v>540</v>
      </c>
    </row>
    <row r="588" spans="1:3" x14ac:dyDescent="0.25">
      <c r="A588" t="s">
        <v>2600</v>
      </c>
      <c r="B588">
        <v>0</v>
      </c>
      <c r="C588">
        <v>1300</v>
      </c>
    </row>
    <row r="589" spans="1:3" x14ac:dyDescent="0.25">
      <c r="A589" t="s">
        <v>2601</v>
      </c>
      <c r="B589">
        <v>0</v>
      </c>
      <c r="C589">
        <v>1400</v>
      </c>
    </row>
    <row r="590" spans="1:3" x14ac:dyDescent="0.25">
      <c r="A590" t="s">
        <v>2603</v>
      </c>
      <c r="B590">
        <v>0</v>
      </c>
      <c r="C590">
        <v>3150</v>
      </c>
    </row>
    <row r="591" spans="1:3" x14ac:dyDescent="0.25">
      <c r="A591" t="s">
        <v>2605</v>
      </c>
      <c r="B591">
        <v>0</v>
      </c>
      <c r="C591">
        <v>6150</v>
      </c>
    </row>
    <row r="592" spans="1:3" x14ac:dyDescent="0.25">
      <c r="A592" t="s">
        <v>67</v>
      </c>
      <c r="B592">
        <v>0</v>
      </c>
      <c r="C592">
        <v>1750</v>
      </c>
    </row>
    <row r="593" spans="1:3" x14ac:dyDescent="0.25">
      <c r="A593" t="s">
        <v>2607</v>
      </c>
      <c r="B593">
        <v>209</v>
      </c>
      <c r="C593">
        <v>3750</v>
      </c>
    </row>
    <row r="594" spans="1:3" x14ac:dyDescent="0.25">
      <c r="A594" t="s">
        <v>2608</v>
      </c>
      <c r="B594">
        <v>2</v>
      </c>
      <c r="C594">
        <v>4400</v>
      </c>
    </row>
    <row r="595" spans="1:3" x14ac:dyDescent="0.25">
      <c r="A595" t="s">
        <v>2610</v>
      </c>
      <c r="B595">
        <v>0</v>
      </c>
      <c r="C595">
        <v>1900</v>
      </c>
    </row>
    <row r="596" spans="1:3" x14ac:dyDescent="0.25">
      <c r="A596" t="s">
        <v>2611</v>
      </c>
      <c r="B596">
        <v>0</v>
      </c>
      <c r="C596">
        <v>8200</v>
      </c>
    </row>
    <row r="597" spans="1:3" x14ac:dyDescent="0.25">
      <c r="A597" t="s">
        <v>2612</v>
      </c>
      <c r="B597">
        <v>1916</v>
      </c>
      <c r="C597">
        <v>7600</v>
      </c>
    </row>
    <row r="598" spans="1:3" x14ac:dyDescent="0.25">
      <c r="A598" t="s">
        <v>2614</v>
      </c>
      <c r="B598">
        <v>0</v>
      </c>
      <c r="C598">
        <v>1200</v>
      </c>
    </row>
    <row r="599" spans="1:3" x14ac:dyDescent="0.25">
      <c r="A599" t="s">
        <v>2615</v>
      </c>
      <c r="B599">
        <v>0</v>
      </c>
      <c r="C599">
        <v>720</v>
      </c>
    </row>
    <row r="600" spans="1:3" x14ac:dyDescent="0.25">
      <c r="A600" t="s">
        <v>2616</v>
      </c>
      <c r="B600">
        <v>0</v>
      </c>
      <c r="C600">
        <v>7200</v>
      </c>
    </row>
    <row r="601" spans="1:3" x14ac:dyDescent="0.25">
      <c r="A601" t="s">
        <v>2617</v>
      </c>
      <c r="B601">
        <v>0</v>
      </c>
      <c r="C601">
        <v>11000</v>
      </c>
    </row>
    <row r="602" spans="1:3" x14ac:dyDescent="0.25">
      <c r="A602" t="s">
        <v>2619</v>
      </c>
      <c r="B602">
        <v>0</v>
      </c>
      <c r="C602">
        <v>920</v>
      </c>
    </row>
    <row r="603" spans="1:3" x14ac:dyDescent="0.25">
      <c r="A603" t="s">
        <v>2621</v>
      </c>
      <c r="B603">
        <v>0</v>
      </c>
      <c r="C603">
        <v>3150</v>
      </c>
    </row>
    <row r="604" spans="1:3" x14ac:dyDescent="0.25">
      <c r="A604" t="s">
        <v>2623</v>
      </c>
      <c r="B604">
        <v>0</v>
      </c>
      <c r="C604">
        <v>1100</v>
      </c>
    </row>
    <row r="605" spans="1:3" x14ac:dyDescent="0.25">
      <c r="A605" t="s">
        <v>2624</v>
      </c>
      <c r="B605">
        <v>0</v>
      </c>
      <c r="C605">
        <v>2850</v>
      </c>
    </row>
    <row r="606" spans="1:3" x14ac:dyDescent="0.25">
      <c r="A606" t="s">
        <v>2625</v>
      </c>
      <c r="B606">
        <v>142</v>
      </c>
      <c r="C606">
        <v>7200</v>
      </c>
    </row>
    <row r="607" spans="1:3" x14ac:dyDescent="0.25">
      <c r="A607" t="s">
        <v>2626</v>
      </c>
      <c r="B607">
        <v>0</v>
      </c>
      <c r="C607">
        <v>10450</v>
      </c>
    </row>
    <row r="608" spans="1:3" x14ac:dyDescent="0.25">
      <c r="A608" t="s">
        <v>2627</v>
      </c>
      <c r="B608">
        <v>0</v>
      </c>
      <c r="C608">
        <v>1</v>
      </c>
    </row>
    <row r="609" spans="1:3" x14ac:dyDescent="0.25">
      <c r="A609" t="s">
        <v>2628</v>
      </c>
      <c r="B609">
        <v>0</v>
      </c>
      <c r="C609">
        <v>2700</v>
      </c>
    </row>
    <row r="610" spans="1:3" x14ac:dyDescent="0.25">
      <c r="A610" t="s">
        <v>2629</v>
      </c>
      <c r="B610">
        <v>0</v>
      </c>
      <c r="C610">
        <v>3950</v>
      </c>
    </row>
    <row r="611" spans="1:3" x14ac:dyDescent="0.25">
      <c r="A611" t="s">
        <v>2630</v>
      </c>
      <c r="B611">
        <v>0</v>
      </c>
      <c r="C611">
        <v>6350</v>
      </c>
    </row>
    <row r="612" spans="1:3" x14ac:dyDescent="0.25">
      <c r="A612" t="s">
        <v>2631</v>
      </c>
      <c r="B612">
        <v>0</v>
      </c>
      <c r="C612">
        <v>15250</v>
      </c>
    </row>
    <row r="613" spans="1:3" x14ac:dyDescent="0.25">
      <c r="A613" t="s">
        <v>2632</v>
      </c>
      <c r="B613">
        <v>0</v>
      </c>
      <c r="C613">
        <v>3950</v>
      </c>
    </row>
    <row r="614" spans="1:3" x14ac:dyDescent="0.25">
      <c r="A614" t="s">
        <v>2634</v>
      </c>
      <c r="B614">
        <v>0</v>
      </c>
      <c r="C614">
        <v>700</v>
      </c>
    </row>
    <row r="615" spans="1:3" x14ac:dyDescent="0.25">
      <c r="A615" t="s">
        <v>2635</v>
      </c>
      <c r="B615">
        <v>0</v>
      </c>
      <c r="C615">
        <v>1500</v>
      </c>
    </row>
    <row r="616" spans="1:3" x14ac:dyDescent="0.25">
      <c r="A616" t="s">
        <v>2636</v>
      </c>
      <c r="B616">
        <v>0</v>
      </c>
      <c r="C616">
        <v>1</v>
      </c>
    </row>
    <row r="617" spans="1:3" x14ac:dyDescent="0.25">
      <c r="A617" t="s">
        <v>2638</v>
      </c>
      <c r="B617">
        <v>0</v>
      </c>
      <c r="C617">
        <v>9500</v>
      </c>
    </row>
    <row r="618" spans="1:3" x14ac:dyDescent="0.25">
      <c r="A618" t="s">
        <v>2639</v>
      </c>
      <c r="B618">
        <v>0</v>
      </c>
      <c r="C618">
        <v>10200</v>
      </c>
    </row>
    <row r="619" spans="1:3" x14ac:dyDescent="0.25">
      <c r="A619" t="s">
        <v>2640</v>
      </c>
      <c r="B619">
        <v>0</v>
      </c>
      <c r="C619">
        <v>1550</v>
      </c>
    </row>
    <row r="620" spans="1:3" x14ac:dyDescent="0.25">
      <c r="A620" t="s">
        <v>2642</v>
      </c>
      <c r="B620">
        <v>0</v>
      </c>
      <c r="C620">
        <v>590</v>
      </c>
    </row>
    <row r="621" spans="1:3" x14ac:dyDescent="0.25">
      <c r="A621" t="s">
        <v>2643</v>
      </c>
      <c r="B621">
        <v>4529</v>
      </c>
      <c r="C621">
        <v>200</v>
      </c>
    </row>
    <row r="622" spans="1:3" x14ac:dyDescent="0.25">
      <c r="A622" t="s">
        <v>2644</v>
      </c>
      <c r="B622">
        <v>0</v>
      </c>
      <c r="C622">
        <v>700</v>
      </c>
    </row>
    <row r="623" spans="1:3" x14ac:dyDescent="0.25">
      <c r="A623" t="s">
        <v>2645</v>
      </c>
      <c r="B623">
        <v>0</v>
      </c>
      <c r="C623">
        <v>480</v>
      </c>
    </row>
    <row r="624" spans="1:3" x14ac:dyDescent="0.25">
      <c r="A624" t="s">
        <v>2646</v>
      </c>
      <c r="B624">
        <v>0</v>
      </c>
      <c r="C624">
        <v>1950</v>
      </c>
    </row>
    <row r="625" spans="1:3" x14ac:dyDescent="0.25">
      <c r="A625" t="s">
        <v>2647</v>
      </c>
      <c r="B625">
        <v>0</v>
      </c>
      <c r="C625">
        <v>11050</v>
      </c>
    </row>
    <row r="626" spans="1:3" x14ac:dyDescent="0.25">
      <c r="A626" t="s">
        <v>2648</v>
      </c>
      <c r="B626">
        <v>11</v>
      </c>
      <c r="C626">
        <v>3500</v>
      </c>
    </row>
    <row r="627" spans="1:3" x14ac:dyDescent="0.25">
      <c r="A627" t="s">
        <v>2651</v>
      </c>
      <c r="B627">
        <v>0</v>
      </c>
      <c r="C627">
        <v>4200</v>
      </c>
    </row>
    <row r="628" spans="1:3" x14ac:dyDescent="0.25">
      <c r="A628" t="s">
        <v>2652</v>
      </c>
      <c r="B628">
        <v>0</v>
      </c>
      <c r="C628">
        <v>825</v>
      </c>
    </row>
    <row r="629" spans="1:3" x14ac:dyDescent="0.25">
      <c r="A629" t="s">
        <v>2654</v>
      </c>
      <c r="B629">
        <v>0</v>
      </c>
      <c r="C629">
        <v>1050</v>
      </c>
    </row>
    <row r="630" spans="1:3" x14ac:dyDescent="0.25">
      <c r="A630" t="s">
        <v>2655</v>
      </c>
      <c r="B630">
        <v>0</v>
      </c>
      <c r="C630">
        <v>570</v>
      </c>
    </row>
    <row r="631" spans="1:3" x14ac:dyDescent="0.25">
      <c r="A631" t="s">
        <v>2658</v>
      </c>
      <c r="B631">
        <v>0</v>
      </c>
      <c r="C631">
        <v>1</v>
      </c>
    </row>
    <row r="632" spans="1:3" x14ac:dyDescent="0.25">
      <c r="A632" t="s">
        <v>2660</v>
      </c>
      <c r="B632">
        <v>0</v>
      </c>
      <c r="C632">
        <v>9350</v>
      </c>
    </row>
    <row r="633" spans="1:3" x14ac:dyDescent="0.25">
      <c r="A633" t="s">
        <v>2663</v>
      </c>
      <c r="B633">
        <v>0</v>
      </c>
      <c r="C633">
        <v>600</v>
      </c>
    </row>
    <row r="634" spans="1:3" x14ac:dyDescent="0.25">
      <c r="A634" t="s">
        <v>2671</v>
      </c>
      <c r="B634">
        <v>0</v>
      </c>
      <c r="C634">
        <v>520</v>
      </c>
    </row>
    <row r="635" spans="1:3" x14ac:dyDescent="0.25">
      <c r="A635" t="s">
        <v>2672</v>
      </c>
      <c r="B635">
        <v>0</v>
      </c>
      <c r="C635">
        <v>440</v>
      </c>
    </row>
    <row r="636" spans="1:3" x14ac:dyDescent="0.25">
      <c r="A636" t="s">
        <v>2673</v>
      </c>
      <c r="B636">
        <v>0</v>
      </c>
      <c r="C636">
        <v>2600</v>
      </c>
    </row>
    <row r="637" spans="1:3" x14ac:dyDescent="0.25">
      <c r="A637" t="s">
        <v>2674</v>
      </c>
      <c r="B637">
        <v>0</v>
      </c>
      <c r="C637">
        <v>6600</v>
      </c>
    </row>
    <row r="638" spans="1:3" x14ac:dyDescent="0.25">
      <c r="A638" t="s">
        <v>2675</v>
      </c>
      <c r="B638">
        <v>0</v>
      </c>
      <c r="C638">
        <v>7700</v>
      </c>
    </row>
    <row r="639" spans="1:3" x14ac:dyDescent="0.25">
      <c r="A639" t="s">
        <v>2678</v>
      </c>
      <c r="B639">
        <v>0</v>
      </c>
      <c r="C639">
        <v>15150</v>
      </c>
    </row>
    <row r="640" spans="1:3" x14ac:dyDescent="0.25">
      <c r="A640" t="s">
        <v>2680</v>
      </c>
      <c r="B640">
        <v>0</v>
      </c>
      <c r="C640">
        <v>8200</v>
      </c>
    </row>
    <row r="641" spans="1:3" x14ac:dyDescent="0.25">
      <c r="A641" t="s">
        <v>2681</v>
      </c>
      <c r="B641">
        <v>0</v>
      </c>
      <c r="C641">
        <v>8800</v>
      </c>
    </row>
    <row r="642" spans="1:3" x14ac:dyDescent="0.25">
      <c r="A642" t="s">
        <v>2684</v>
      </c>
      <c r="B642">
        <v>0</v>
      </c>
      <c r="C642">
        <v>3900</v>
      </c>
    </row>
    <row r="643" spans="1:3" x14ac:dyDescent="0.25">
      <c r="A643" t="s">
        <v>2688</v>
      </c>
      <c r="B643">
        <v>0</v>
      </c>
      <c r="C643">
        <v>9500</v>
      </c>
    </row>
    <row r="644" spans="1:3" x14ac:dyDescent="0.25">
      <c r="A644" t="s">
        <v>2689</v>
      </c>
      <c r="B644">
        <v>0</v>
      </c>
      <c r="C644">
        <v>380</v>
      </c>
    </row>
    <row r="645" spans="1:3" x14ac:dyDescent="0.25">
      <c r="A645" t="s">
        <v>2690</v>
      </c>
      <c r="B645">
        <v>0</v>
      </c>
      <c r="C645">
        <v>425</v>
      </c>
    </row>
    <row r="646" spans="1:3" x14ac:dyDescent="0.25">
      <c r="A646" t="s">
        <v>2693</v>
      </c>
      <c r="B646">
        <v>0</v>
      </c>
      <c r="C646">
        <v>600</v>
      </c>
    </row>
    <row r="647" spans="1:3" x14ac:dyDescent="0.25">
      <c r="A647" t="s">
        <v>2694</v>
      </c>
      <c r="B647">
        <v>0</v>
      </c>
      <c r="C647">
        <v>13250</v>
      </c>
    </row>
    <row r="648" spans="1:3" x14ac:dyDescent="0.25">
      <c r="A648" t="s">
        <v>2695</v>
      </c>
      <c r="B648">
        <v>0</v>
      </c>
      <c r="C648">
        <v>20100</v>
      </c>
    </row>
    <row r="649" spans="1:3" x14ac:dyDescent="0.25">
      <c r="A649" t="s">
        <v>2696</v>
      </c>
      <c r="B649">
        <v>0</v>
      </c>
      <c r="C649">
        <v>410</v>
      </c>
    </row>
    <row r="650" spans="1:3" x14ac:dyDescent="0.25">
      <c r="A650" t="s">
        <v>2697</v>
      </c>
      <c r="B650">
        <v>0</v>
      </c>
      <c r="C650">
        <v>23750</v>
      </c>
    </row>
    <row r="651" spans="1:3" x14ac:dyDescent="0.25">
      <c r="A651" t="s">
        <v>2698</v>
      </c>
      <c r="B651">
        <v>0</v>
      </c>
      <c r="C651">
        <v>1</v>
      </c>
    </row>
    <row r="652" spans="1:3" x14ac:dyDescent="0.25">
      <c r="A652" t="s">
        <v>98</v>
      </c>
      <c r="B652">
        <v>19730</v>
      </c>
      <c r="C652">
        <v>150</v>
      </c>
    </row>
    <row r="653" spans="1:3" x14ac:dyDescent="0.25">
      <c r="A653" t="s">
        <v>2699</v>
      </c>
      <c r="B653">
        <v>0</v>
      </c>
      <c r="C653">
        <v>4000</v>
      </c>
    </row>
    <row r="654" spans="1:3" x14ac:dyDescent="0.25">
      <c r="A654" t="s">
        <v>2701</v>
      </c>
      <c r="B654">
        <v>0</v>
      </c>
      <c r="C654">
        <v>7800</v>
      </c>
    </row>
    <row r="655" spans="1:3" x14ac:dyDescent="0.25">
      <c r="A655" t="s">
        <v>2702</v>
      </c>
      <c r="B655">
        <v>0</v>
      </c>
      <c r="C655">
        <v>3200</v>
      </c>
    </row>
    <row r="656" spans="1:3" x14ac:dyDescent="0.25">
      <c r="A656" t="s">
        <v>2703</v>
      </c>
      <c r="B656">
        <v>0</v>
      </c>
      <c r="C656">
        <v>8200</v>
      </c>
    </row>
    <row r="657" spans="1:3" x14ac:dyDescent="0.25">
      <c r="A657" t="s">
        <v>2704</v>
      </c>
      <c r="B657">
        <v>0</v>
      </c>
      <c r="C657">
        <v>4650</v>
      </c>
    </row>
    <row r="658" spans="1:3" x14ac:dyDescent="0.25">
      <c r="A658" t="s">
        <v>2706</v>
      </c>
      <c r="B658">
        <v>0</v>
      </c>
      <c r="C658">
        <v>5850</v>
      </c>
    </row>
    <row r="659" spans="1:3" x14ac:dyDescent="0.25">
      <c r="A659" t="s">
        <v>2707</v>
      </c>
      <c r="B659">
        <v>0</v>
      </c>
      <c r="C659">
        <v>350</v>
      </c>
    </row>
    <row r="660" spans="1:3" x14ac:dyDescent="0.25">
      <c r="A660" t="s">
        <v>2708</v>
      </c>
      <c r="B660">
        <v>0</v>
      </c>
      <c r="C660">
        <v>3580</v>
      </c>
    </row>
    <row r="661" spans="1:3" x14ac:dyDescent="0.25">
      <c r="A661" t="s">
        <v>2713</v>
      </c>
      <c r="B661">
        <v>0</v>
      </c>
      <c r="C661">
        <v>3800</v>
      </c>
    </row>
    <row r="662" spans="1:3" x14ac:dyDescent="0.25">
      <c r="A662" t="s">
        <v>2715</v>
      </c>
      <c r="B662">
        <v>0</v>
      </c>
      <c r="C662">
        <v>1450</v>
      </c>
    </row>
    <row r="663" spans="1:3" x14ac:dyDescent="0.25">
      <c r="A663" t="s">
        <v>2716</v>
      </c>
      <c r="B663">
        <v>0</v>
      </c>
      <c r="C663">
        <v>170</v>
      </c>
    </row>
    <row r="664" spans="1:3" x14ac:dyDescent="0.25">
      <c r="A664" t="s">
        <v>2718</v>
      </c>
      <c r="B664">
        <v>0</v>
      </c>
      <c r="C664">
        <v>265</v>
      </c>
    </row>
    <row r="665" spans="1:3" x14ac:dyDescent="0.25">
      <c r="A665" t="s">
        <v>2719</v>
      </c>
      <c r="B665">
        <v>0</v>
      </c>
      <c r="C665">
        <v>550</v>
      </c>
    </row>
    <row r="666" spans="1:3" x14ac:dyDescent="0.25">
      <c r="A666" t="s">
        <v>2720</v>
      </c>
      <c r="B666">
        <v>0</v>
      </c>
      <c r="C666">
        <v>25000</v>
      </c>
    </row>
    <row r="667" spans="1:3" x14ac:dyDescent="0.25">
      <c r="A667" t="s">
        <v>2721</v>
      </c>
      <c r="B667">
        <v>0</v>
      </c>
      <c r="C667">
        <v>1350</v>
      </c>
    </row>
    <row r="668" spans="1:3" x14ac:dyDescent="0.25">
      <c r="A668" t="s">
        <v>2723</v>
      </c>
      <c r="B668">
        <v>0</v>
      </c>
      <c r="C668">
        <v>2350</v>
      </c>
    </row>
    <row r="669" spans="1:3" x14ac:dyDescent="0.25">
      <c r="A669" t="s">
        <v>2724</v>
      </c>
      <c r="B669">
        <v>0</v>
      </c>
      <c r="C669">
        <v>550</v>
      </c>
    </row>
    <row r="670" spans="1:3" x14ac:dyDescent="0.25">
      <c r="A670" t="s">
        <v>99</v>
      </c>
      <c r="B670">
        <v>144</v>
      </c>
      <c r="C670">
        <v>550</v>
      </c>
    </row>
    <row r="671" spans="1:3" x14ac:dyDescent="0.25">
      <c r="A671" t="s">
        <v>2725</v>
      </c>
      <c r="B671">
        <v>0</v>
      </c>
      <c r="C671">
        <v>0</v>
      </c>
    </row>
    <row r="672" spans="1:3" x14ac:dyDescent="0.25">
      <c r="A672" t="s">
        <v>2726</v>
      </c>
      <c r="B672">
        <v>0</v>
      </c>
      <c r="C672">
        <v>700</v>
      </c>
    </row>
    <row r="673" spans="1:3" x14ac:dyDescent="0.25">
      <c r="A673" t="s">
        <v>2727</v>
      </c>
      <c r="B673">
        <v>0</v>
      </c>
      <c r="C673">
        <v>620</v>
      </c>
    </row>
    <row r="674" spans="1:3" x14ac:dyDescent="0.25">
      <c r="A674" t="s">
        <v>2728</v>
      </c>
      <c r="B674">
        <v>0</v>
      </c>
      <c r="C674">
        <v>620</v>
      </c>
    </row>
    <row r="675" spans="1:3" x14ac:dyDescent="0.25">
      <c r="A675" t="s">
        <v>2729</v>
      </c>
      <c r="B675">
        <v>0</v>
      </c>
      <c r="C675">
        <v>7750</v>
      </c>
    </row>
    <row r="676" spans="1:3" x14ac:dyDescent="0.25">
      <c r="A676" t="s">
        <v>2730</v>
      </c>
      <c r="B676">
        <v>0</v>
      </c>
      <c r="C676">
        <v>1250</v>
      </c>
    </row>
    <row r="677" spans="1:3" x14ac:dyDescent="0.25">
      <c r="A677" t="s">
        <v>2732</v>
      </c>
      <c r="B677">
        <v>0</v>
      </c>
      <c r="C677">
        <v>1000</v>
      </c>
    </row>
    <row r="678" spans="1:3" x14ac:dyDescent="0.25">
      <c r="A678" t="s">
        <v>2734</v>
      </c>
      <c r="B678">
        <v>0</v>
      </c>
      <c r="C678">
        <v>5000</v>
      </c>
    </row>
    <row r="679" spans="1:3" x14ac:dyDescent="0.25">
      <c r="A679" t="s">
        <v>2736</v>
      </c>
      <c r="B679">
        <v>0</v>
      </c>
      <c r="C679">
        <v>4500</v>
      </c>
    </row>
    <row r="680" spans="1:3" x14ac:dyDescent="0.25">
      <c r="A680" t="s">
        <v>82</v>
      </c>
      <c r="B680">
        <v>3102</v>
      </c>
      <c r="C680">
        <v>1700</v>
      </c>
    </row>
    <row r="681" spans="1:3" x14ac:dyDescent="0.25">
      <c r="A681" t="s">
        <v>2737</v>
      </c>
      <c r="B681">
        <v>0</v>
      </c>
      <c r="C681">
        <v>310</v>
      </c>
    </row>
    <row r="682" spans="1:3" x14ac:dyDescent="0.25">
      <c r="A682" t="s">
        <v>2738</v>
      </c>
      <c r="B682">
        <v>0</v>
      </c>
      <c r="C682">
        <v>1950</v>
      </c>
    </row>
    <row r="683" spans="1:3" x14ac:dyDescent="0.25">
      <c r="A683" t="s">
        <v>2739</v>
      </c>
      <c r="B683">
        <v>0</v>
      </c>
      <c r="C683">
        <v>2600</v>
      </c>
    </row>
    <row r="684" spans="1:3" x14ac:dyDescent="0.25">
      <c r="A684" t="s">
        <v>2740</v>
      </c>
      <c r="B684">
        <v>0</v>
      </c>
      <c r="C684">
        <v>450</v>
      </c>
    </row>
    <row r="685" spans="1:3" x14ac:dyDescent="0.25">
      <c r="A685" t="s">
        <v>2741</v>
      </c>
      <c r="B685">
        <v>1482</v>
      </c>
      <c r="C685">
        <v>550</v>
      </c>
    </row>
    <row r="686" spans="1:3" x14ac:dyDescent="0.25">
      <c r="A686" t="s">
        <v>2742</v>
      </c>
      <c r="B686">
        <v>0</v>
      </c>
      <c r="C686">
        <v>2000</v>
      </c>
    </row>
    <row r="687" spans="1:3" x14ac:dyDescent="0.25">
      <c r="A687" t="s">
        <v>2743</v>
      </c>
      <c r="B687">
        <v>0</v>
      </c>
      <c r="C687">
        <v>1000</v>
      </c>
    </row>
    <row r="688" spans="1:3" x14ac:dyDescent="0.25">
      <c r="A688" t="s">
        <v>2744</v>
      </c>
      <c r="B688">
        <v>1</v>
      </c>
      <c r="C688">
        <v>4950</v>
      </c>
    </row>
    <row r="689" spans="1:3" x14ac:dyDescent="0.25">
      <c r="A689" t="s">
        <v>2745</v>
      </c>
      <c r="B689">
        <v>0</v>
      </c>
      <c r="C689">
        <v>2700</v>
      </c>
    </row>
    <row r="690" spans="1:3" x14ac:dyDescent="0.25">
      <c r="A690" t="s">
        <v>2746</v>
      </c>
      <c r="B690">
        <v>0</v>
      </c>
      <c r="C690">
        <v>425</v>
      </c>
    </row>
    <row r="691" spans="1:3" x14ac:dyDescent="0.25">
      <c r="A691" t="s">
        <v>2751</v>
      </c>
      <c r="B691">
        <v>0</v>
      </c>
      <c r="C691">
        <v>2100</v>
      </c>
    </row>
    <row r="692" spans="1:3" x14ac:dyDescent="0.25">
      <c r="A692" t="s">
        <v>2752</v>
      </c>
      <c r="B692">
        <v>0</v>
      </c>
      <c r="C692">
        <v>6750</v>
      </c>
    </row>
    <row r="693" spans="1:3" x14ac:dyDescent="0.25">
      <c r="A693" t="s">
        <v>2753</v>
      </c>
      <c r="B693">
        <v>0</v>
      </c>
      <c r="C693">
        <v>560</v>
      </c>
    </row>
    <row r="694" spans="1:3" x14ac:dyDescent="0.25">
      <c r="A694" t="s">
        <v>2754</v>
      </c>
      <c r="B694">
        <v>96</v>
      </c>
      <c r="C694">
        <v>3600</v>
      </c>
    </row>
    <row r="695" spans="1:3" x14ac:dyDescent="0.25">
      <c r="A695" t="s">
        <v>2755</v>
      </c>
      <c r="B695">
        <v>0</v>
      </c>
      <c r="C695">
        <v>700</v>
      </c>
    </row>
    <row r="696" spans="1:3" x14ac:dyDescent="0.25">
      <c r="A696" t="s">
        <v>2756</v>
      </c>
      <c r="B696">
        <v>97</v>
      </c>
      <c r="C696">
        <v>4950</v>
      </c>
    </row>
    <row r="697" spans="1:3" x14ac:dyDescent="0.25">
      <c r="A697" t="s">
        <v>2757</v>
      </c>
      <c r="B697">
        <v>0</v>
      </c>
      <c r="C697">
        <v>5300</v>
      </c>
    </row>
    <row r="698" spans="1:3" x14ac:dyDescent="0.25">
      <c r="A698" t="s">
        <v>2758</v>
      </c>
      <c r="B698">
        <v>0</v>
      </c>
      <c r="C698">
        <v>700</v>
      </c>
    </row>
    <row r="699" spans="1:3" x14ac:dyDescent="0.25">
      <c r="A699" t="s">
        <v>2759</v>
      </c>
      <c r="B699">
        <v>0</v>
      </c>
      <c r="C699">
        <v>550</v>
      </c>
    </row>
    <row r="700" spans="1:3" x14ac:dyDescent="0.25">
      <c r="A700" t="s">
        <v>2760</v>
      </c>
      <c r="B700">
        <v>0</v>
      </c>
      <c r="C700">
        <v>4500</v>
      </c>
    </row>
    <row r="701" spans="1:3" x14ac:dyDescent="0.25">
      <c r="A701" t="s">
        <v>2761</v>
      </c>
      <c r="B701">
        <v>0</v>
      </c>
      <c r="C701">
        <v>22000</v>
      </c>
    </row>
    <row r="702" spans="1:3" x14ac:dyDescent="0.25">
      <c r="A702" t="s">
        <v>2762</v>
      </c>
      <c r="B702">
        <v>0</v>
      </c>
      <c r="C702">
        <v>2400</v>
      </c>
    </row>
    <row r="703" spans="1:3" x14ac:dyDescent="0.25">
      <c r="A703" t="s">
        <v>2763</v>
      </c>
      <c r="B703">
        <v>0</v>
      </c>
      <c r="C703">
        <v>2700</v>
      </c>
    </row>
    <row r="704" spans="1:3" x14ac:dyDescent="0.25">
      <c r="A704" t="s">
        <v>2765</v>
      </c>
      <c r="B704">
        <v>0</v>
      </c>
      <c r="C704">
        <v>5250</v>
      </c>
    </row>
    <row r="705" spans="1:3" x14ac:dyDescent="0.25">
      <c r="A705" t="s">
        <v>2766</v>
      </c>
      <c r="B705">
        <v>0</v>
      </c>
      <c r="C705">
        <v>1000</v>
      </c>
    </row>
    <row r="706" spans="1:3" x14ac:dyDescent="0.25">
      <c r="A706" t="s">
        <v>2767</v>
      </c>
      <c r="B706">
        <v>0</v>
      </c>
      <c r="C706">
        <v>1160</v>
      </c>
    </row>
    <row r="707" spans="1:3" x14ac:dyDescent="0.25">
      <c r="A707" t="s">
        <v>2768</v>
      </c>
      <c r="B707">
        <v>0</v>
      </c>
      <c r="C707">
        <v>1000</v>
      </c>
    </row>
    <row r="708" spans="1:3" x14ac:dyDescent="0.25">
      <c r="A708" t="s">
        <v>2769</v>
      </c>
      <c r="B708">
        <v>0</v>
      </c>
      <c r="C708">
        <v>1250</v>
      </c>
    </row>
    <row r="709" spans="1:3" x14ac:dyDescent="0.25">
      <c r="A709" t="s">
        <v>2770</v>
      </c>
      <c r="B709">
        <v>0</v>
      </c>
      <c r="C709">
        <v>1600</v>
      </c>
    </row>
    <row r="710" spans="1:3" x14ac:dyDescent="0.25">
      <c r="A710" t="s">
        <v>2772</v>
      </c>
      <c r="B710">
        <v>0</v>
      </c>
      <c r="C710">
        <v>4600</v>
      </c>
    </row>
    <row r="711" spans="1:3" x14ac:dyDescent="0.25">
      <c r="A711" t="s">
        <v>2775</v>
      </c>
      <c r="B711">
        <v>0</v>
      </c>
      <c r="C711">
        <v>1750</v>
      </c>
    </row>
    <row r="712" spans="1:3" x14ac:dyDescent="0.25">
      <c r="A712" t="s">
        <v>2776</v>
      </c>
      <c r="B712">
        <v>0</v>
      </c>
      <c r="C712">
        <v>2950</v>
      </c>
    </row>
    <row r="713" spans="1:3" x14ac:dyDescent="0.25">
      <c r="A713" t="s">
        <v>2777</v>
      </c>
      <c r="B713">
        <v>0</v>
      </c>
      <c r="C713">
        <v>300</v>
      </c>
    </row>
    <row r="714" spans="1:3" x14ac:dyDescent="0.25">
      <c r="A714" t="s">
        <v>2778</v>
      </c>
      <c r="B714">
        <v>0</v>
      </c>
      <c r="C714">
        <v>1050</v>
      </c>
    </row>
    <row r="715" spans="1:3" x14ac:dyDescent="0.25">
      <c r="A715" t="s">
        <v>2779</v>
      </c>
      <c r="B715">
        <v>0</v>
      </c>
      <c r="C715">
        <v>480</v>
      </c>
    </row>
    <row r="716" spans="1:3" x14ac:dyDescent="0.25">
      <c r="A716" t="s">
        <v>2780</v>
      </c>
      <c r="B716">
        <v>0</v>
      </c>
      <c r="C716">
        <v>3550</v>
      </c>
    </row>
    <row r="717" spans="1:3" x14ac:dyDescent="0.25">
      <c r="A717" t="s">
        <v>2783</v>
      </c>
      <c r="B717">
        <v>0</v>
      </c>
      <c r="C717">
        <v>1000</v>
      </c>
    </row>
    <row r="718" spans="1:3" x14ac:dyDescent="0.25">
      <c r="A718" t="s">
        <v>2784</v>
      </c>
      <c r="B718">
        <v>0</v>
      </c>
      <c r="C718">
        <v>875</v>
      </c>
    </row>
    <row r="719" spans="1:3" x14ac:dyDescent="0.25">
      <c r="A719" t="s">
        <v>2785</v>
      </c>
      <c r="B719">
        <v>0</v>
      </c>
      <c r="C719">
        <v>4800</v>
      </c>
    </row>
    <row r="720" spans="1:3" x14ac:dyDescent="0.25">
      <c r="A720" t="s">
        <v>2786</v>
      </c>
      <c r="B720">
        <v>0</v>
      </c>
      <c r="C720">
        <v>2200</v>
      </c>
    </row>
    <row r="721" spans="1:3" x14ac:dyDescent="0.25">
      <c r="A721" t="s">
        <v>2787</v>
      </c>
      <c r="B721">
        <v>30</v>
      </c>
      <c r="C721">
        <v>16000</v>
      </c>
    </row>
    <row r="722" spans="1:3" x14ac:dyDescent="0.25">
      <c r="A722" t="s">
        <v>2789</v>
      </c>
      <c r="B722">
        <v>0</v>
      </c>
      <c r="C722">
        <v>1850</v>
      </c>
    </row>
    <row r="723" spans="1:3" x14ac:dyDescent="0.25">
      <c r="A723" t="s">
        <v>2792</v>
      </c>
      <c r="B723">
        <v>0</v>
      </c>
      <c r="C723">
        <v>240</v>
      </c>
    </row>
    <row r="724" spans="1:3" x14ac:dyDescent="0.25">
      <c r="A724" t="s">
        <v>2793</v>
      </c>
      <c r="B724">
        <v>0</v>
      </c>
      <c r="C724">
        <v>550</v>
      </c>
    </row>
    <row r="725" spans="1:3" x14ac:dyDescent="0.25">
      <c r="A725" t="s">
        <v>2794</v>
      </c>
      <c r="B725">
        <v>0</v>
      </c>
      <c r="C725">
        <v>450</v>
      </c>
    </row>
    <row r="726" spans="1:3" x14ac:dyDescent="0.25">
      <c r="A726" t="s">
        <v>2795</v>
      </c>
      <c r="B726">
        <v>0</v>
      </c>
      <c r="C726">
        <v>850</v>
      </c>
    </row>
    <row r="727" spans="1:3" x14ac:dyDescent="0.25">
      <c r="A727" t="s">
        <v>2796</v>
      </c>
      <c r="B727">
        <v>0</v>
      </c>
      <c r="C727">
        <v>2850</v>
      </c>
    </row>
    <row r="728" spans="1:3" x14ac:dyDescent="0.25">
      <c r="A728" t="s">
        <v>2797</v>
      </c>
      <c r="B728">
        <v>0</v>
      </c>
      <c r="C728">
        <v>1150</v>
      </c>
    </row>
    <row r="729" spans="1:3" x14ac:dyDescent="0.25">
      <c r="A729" t="s">
        <v>2798</v>
      </c>
      <c r="B729">
        <v>0</v>
      </c>
      <c r="C729">
        <v>25000</v>
      </c>
    </row>
    <row r="730" spans="1:3" x14ac:dyDescent="0.25">
      <c r="A730" t="s">
        <v>2801</v>
      </c>
      <c r="B730">
        <v>0</v>
      </c>
      <c r="C730">
        <v>1700</v>
      </c>
    </row>
    <row r="731" spans="1:3" x14ac:dyDescent="0.25">
      <c r="A731" t="s">
        <v>2803</v>
      </c>
      <c r="B731">
        <v>0</v>
      </c>
      <c r="C731">
        <v>340</v>
      </c>
    </row>
    <row r="732" spans="1:3" x14ac:dyDescent="0.25">
      <c r="A732" t="s">
        <v>2804</v>
      </c>
      <c r="B732">
        <v>0</v>
      </c>
      <c r="C732">
        <v>450</v>
      </c>
    </row>
    <row r="733" spans="1:3" x14ac:dyDescent="0.25">
      <c r="A733" t="s">
        <v>2805</v>
      </c>
      <c r="B733">
        <v>0</v>
      </c>
      <c r="C733">
        <v>440</v>
      </c>
    </row>
    <row r="734" spans="1:3" x14ac:dyDescent="0.25">
      <c r="A734" t="s">
        <v>2806</v>
      </c>
      <c r="B734">
        <v>0</v>
      </c>
      <c r="C734">
        <v>600</v>
      </c>
    </row>
    <row r="735" spans="1:3" x14ac:dyDescent="0.25">
      <c r="A735" t="s">
        <v>2808</v>
      </c>
      <c r="B735">
        <v>0</v>
      </c>
      <c r="C735">
        <v>13200</v>
      </c>
    </row>
    <row r="736" spans="1:3" x14ac:dyDescent="0.25">
      <c r="A736" t="s">
        <v>2809</v>
      </c>
      <c r="B736">
        <v>176</v>
      </c>
      <c r="C736">
        <v>4950</v>
      </c>
    </row>
    <row r="737" spans="1:3" x14ac:dyDescent="0.25">
      <c r="A737" t="s">
        <v>2810</v>
      </c>
      <c r="B737">
        <v>0</v>
      </c>
      <c r="C737">
        <v>440</v>
      </c>
    </row>
    <row r="738" spans="1:3" x14ac:dyDescent="0.25">
      <c r="A738" t="s">
        <v>2814</v>
      </c>
      <c r="B738">
        <v>0</v>
      </c>
      <c r="C738">
        <v>105</v>
      </c>
    </row>
    <row r="739" spans="1:3" x14ac:dyDescent="0.25">
      <c r="A739" t="s">
        <v>2816</v>
      </c>
      <c r="B739">
        <v>0</v>
      </c>
      <c r="C739">
        <v>400</v>
      </c>
    </row>
    <row r="740" spans="1:3" x14ac:dyDescent="0.25">
      <c r="A740" t="s">
        <v>2820</v>
      </c>
      <c r="B740">
        <v>0</v>
      </c>
      <c r="C740">
        <v>750</v>
      </c>
    </row>
    <row r="741" spans="1:3" x14ac:dyDescent="0.25">
      <c r="A741" t="s">
        <v>2821</v>
      </c>
      <c r="B741">
        <v>0</v>
      </c>
      <c r="C741">
        <v>3250</v>
      </c>
    </row>
    <row r="742" spans="1:3" x14ac:dyDescent="0.25">
      <c r="A742" t="s">
        <v>2822</v>
      </c>
      <c r="B742">
        <v>0</v>
      </c>
      <c r="C742">
        <v>13000</v>
      </c>
    </row>
    <row r="743" spans="1:3" x14ac:dyDescent="0.25">
      <c r="A743" t="s">
        <v>2823</v>
      </c>
      <c r="B743">
        <v>0</v>
      </c>
      <c r="C743">
        <v>550</v>
      </c>
    </row>
    <row r="744" spans="1:3" x14ac:dyDescent="0.25">
      <c r="A744" t="s">
        <v>2824</v>
      </c>
      <c r="B744">
        <v>0</v>
      </c>
      <c r="C744">
        <v>4500</v>
      </c>
    </row>
    <row r="745" spans="1:3" x14ac:dyDescent="0.25">
      <c r="A745" t="s">
        <v>2825</v>
      </c>
      <c r="B745">
        <v>0</v>
      </c>
      <c r="C745">
        <v>7650</v>
      </c>
    </row>
    <row r="746" spans="1:3" x14ac:dyDescent="0.25">
      <c r="A746" t="s">
        <v>2828</v>
      </c>
      <c r="B746">
        <v>0</v>
      </c>
      <c r="C746">
        <v>11000</v>
      </c>
    </row>
    <row r="747" spans="1:3" x14ac:dyDescent="0.25">
      <c r="A747" t="s">
        <v>2832</v>
      </c>
      <c r="B747">
        <v>0</v>
      </c>
      <c r="C747">
        <v>2350</v>
      </c>
    </row>
    <row r="748" spans="1:3" x14ac:dyDescent="0.25">
      <c r="A748" t="s">
        <v>2833</v>
      </c>
      <c r="B748">
        <v>0</v>
      </c>
      <c r="C748">
        <v>11450</v>
      </c>
    </row>
    <row r="749" spans="1:3" x14ac:dyDescent="0.25">
      <c r="A749" t="s">
        <v>2834</v>
      </c>
      <c r="B749">
        <v>0</v>
      </c>
      <c r="C749">
        <v>12750</v>
      </c>
    </row>
    <row r="750" spans="1:3" x14ac:dyDescent="0.25">
      <c r="A750" t="s">
        <v>2836</v>
      </c>
      <c r="B750">
        <v>0</v>
      </c>
      <c r="C750">
        <v>12250</v>
      </c>
    </row>
    <row r="751" spans="1:3" x14ac:dyDescent="0.25">
      <c r="A751" t="s">
        <v>2837</v>
      </c>
      <c r="B751">
        <v>0</v>
      </c>
      <c r="C751">
        <v>350</v>
      </c>
    </row>
    <row r="752" spans="1:3" x14ac:dyDescent="0.25">
      <c r="A752" t="s">
        <v>2838</v>
      </c>
      <c r="B752">
        <v>0</v>
      </c>
      <c r="C752">
        <v>1</v>
      </c>
    </row>
    <row r="753" spans="1:3" x14ac:dyDescent="0.25">
      <c r="A753" t="s">
        <v>2839</v>
      </c>
      <c r="B753">
        <v>0</v>
      </c>
      <c r="C753">
        <v>850</v>
      </c>
    </row>
    <row r="754" spans="1:3" x14ac:dyDescent="0.25">
      <c r="A754" t="s">
        <v>2842</v>
      </c>
      <c r="B754">
        <v>0</v>
      </c>
      <c r="C754">
        <v>51000</v>
      </c>
    </row>
    <row r="755" spans="1:3" x14ac:dyDescent="0.25">
      <c r="A755" t="s">
        <v>2844</v>
      </c>
      <c r="B755">
        <v>0</v>
      </c>
      <c r="C755">
        <v>3450</v>
      </c>
    </row>
    <row r="756" spans="1:3" x14ac:dyDescent="0.25">
      <c r="A756" t="s">
        <v>2845</v>
      </c>
      <c r="B756">
        <v>0</v>
      </c>
      <c r="C756">
        <v>1450</v>
      </c>
    </row>
    <row r="757" spans="1:3" x14ac:dyDescent="0.25">
      <c r="A757" t="s">
        <v>2846</v>
      </c>
      <c r="B757">
        <v>0</v>
      </c>
      <c r="C757">
        <v>1</v>
      </c>
    </row>
    <row r="758" spans="1:3" x14ac:dyDescent="0.25">
      <c r="A758" t="s">
        <v>2847</v>
      </c>
      <c r="B758">
        <v>0</v>
      </c>
      <c r="C758">
        <v>500</v>
      </c>
    </row>
    <row r="759" spans="1:3" x14ac:dyDescent="0.25">
      <c r="A759" t="s">
        <v>2848</v>
      </c>
      <c r="B759">
        <v>0</v>
      </c>
      <c r="C759">
        <v>51250</v>
      </c>
    </row>
    <row r="760" spans="1:3" x14ac:dyDescent="0.25">
      <c r="A760" t="s">
        <v>2849</v>
      </c>
      <c r="B760">
        <v>13</v>
      </c>
      <c r="C760">
        <v>13000</v>
      </c>
    </row>
    <row r="761" spans="1:3" x14ac:dyDescent="0.25">
      <c r="A761" t="s">
        <v>2850</v>
      </c>
      <c r="B761">
        <v>0</v>
      </c>
      <c r="C761">
        <v>3500</v>
      </c>
    </row>
    <row r="762" spans="1:3" x14ac:dyDescent="0.25">
      <c r="A762" t="s">
        <v>2852</v>
      </c>
      <c r="B762">
        <v>0</v>
      </c>
      <c r="C762">
        <v>9500</v>
      </c>
    </row>
    <row r="763" spans="1:3" x14ac:dyDescent="0.25">
      <c r="A763" t="s">
        <v>2853</v>
      </c>
      <c r="B763">
        <v>0</v>
      </c>
      <c r="C763">
        <v>850</v>
      </c>
    </row>
    <row r="764" spans="1:3" x14ac:dyDescent="0.25">
      <c r="A764" t="s">
        <v>2854</v>
      </c>
      <c r="B764">
        <v>0</v>
      </c>
      <c r="C764">
        <v>850</v>
      </c>
    </row>
    <row r="765" spans="1:3" x14ac:dyDescent="0.25">
      <c r="A765" t="s">
        <v>2856</v>
      </c>
      <c r="B765">
        <v>0</v>
      </c>
      <c r="C765">
        <v>700</v>
      </c>
    </row>
    <row r="766" spans="1:3" x14ac:dyDescent="0.25">
      <c r="A766" t="s">
        <v>2857</v>
      </c>
      <c r="B766">
        <v>0</v>
      </c>
      <c r="C766">
        <v>8250</v>
      </c>
    </row>
    <row r="767" spans="1:3" x14ac:dyDescent="0.25">
      <c r="A767" t="s">
        <v>2858</v>
      </c>
      <c r="B767">
        <v>0</v>
      </c>
      <c r="C767">
        <v>7000</v>
      </c>
    </row>
    <row r="768" spans="1:3" x14ac:dyDescent="0.25">
      <c r="A768" t="s">
        <v>2859</v>
      </c>
      <c r="B768">
        <v>0</v>
      </c>
      <c r="C768">
        <v>2550</v>
      </c>
    </row>
    <row r="769" spans="1:3" x14ac:dyDescent="0.25">
      <c r="A769" t="s">
        <v>2860</v>
      </c>
      <c r="B769">
        <v>0</v>
      </c>
      <c r="C769">
        <v>900</v>
      </c>
    </row>
    <row r="770" spans="1:3" x14ac:dyDescent="0.25">
      <c r="A770" t="s">
        <v>2861</v>
      </c>
      <c r="B770">
        <v>0</v>
      </c>
      <c r="C770">
        <v>700</v>
      </c>
    </row>
    <row r="771" spans="1:3" x14ac:dyDescent="0.25">
      <c r="A771" t="s">
        <v>2862</v>
      </c>
      <c r="B771">
        <v>0</v>
      </c>
      <c r="C771">
        <v>480</v>
      </c>
    </row>
    <row r="772" spans="1:3" x14ac:dyDescent="0.25">
      <c r="A772" t="s">
        <v>2863</v>
      </c>
      <c r="B772">
        <v>0</v>
      </c>
      <c r="C772">
        <v>2300</v>
      </c>
    </row>
    <row r="773" spans="1:3" x14ac:dyDescent="0.25">
      <c r="A773" t="s">
        <v>2913</v>
      </c>
      <c r="B773">
        <v>12</v>
      </c>
      <c r="C773">
        <v>5200</v>
      </c>
    </row>
    <row r="774" spans="1:3" x14ac:dyDescent="0.25">
      <c r="A774" t="s">
        <v>2914</v>
      </c>
      <c r="B774">
        <v>12</v>
      </c>
      <c r="C774">
        <v>14000</v>
      </c>
    </row>
    <row r="775" spans="1:3" x14ac:dyDescent="0.25">
      <c r="A775" t="s">
        <v>2915</v>
      </c>
      <c r="B775">
        <v>0</v>
      </c>
      <c r="C775">
        <v>170</v>
      </c>
    </row>
    <row r="776" spans="1:3" x14ac:dyDescent="0.25">
      <c r="A776" t="s">
        <v>2916</v>
      </c>
      <c r="B776">
        <v>0</v>
      </c>
      <c r="C776">
        <v>1300</v>
      </c>
    </row>
    <row r="777" spans="1:3" x14ac:dyDescent="0.25">
      <c r="A777" t="s">
        <v>2917</v>
      </c>
      <c r="B777">
        <v>0</v>
      </c>
      <c r="C777">
        <v>9900</v>
      </c>
    </row>
    <row r="778" spans="1:3" x14ac:dyDescent="0.25">
      <c r="A778" t="s">
        <v>2919</v>
      </c>
      <c r="B778">
        <v>0</v>
      </c>
      <c r="C778">
        <v>9350</v>
      </c>
    </row>
    <row r="779" spans="1:3" x14ac:dyDescent="0.25">
      <c r="A779" t="s">
        <v>2920</v>
      </c>
      <c r="B779">
        <v>0</v>
      </c>
      <c r="C779">
        <v>22600</v>
      </c>
    </row>
    <row r="780" spans="1:3" x14ac:dyDescent="0.25">
      <c r="A780" t="s">
        <v>2921</v>
      </c>
      <c r="B780">
        <v>0</v>
      </c>
      <c r="C780">
        <v>4800</v>
      </c>
    </row>
    <row r="781" spans="1:3" x14ac:dyDescent="0.25">
      <c r="A781" t="s">
        <v>2922</v>
      </c>
      <c r="B781">
        <v>5</v>
      </c>
      <c r="C781">
        <v>6900</v>
      </c>
    </row>
    <row r="782" spans="1:3" x14ac:dyDescent="0.25">
      <c r="A782" t="s">
        <v>2923</v>
      </c>
      <c r="B782">
        <v>0</v>
      </c>
      <c r="C782">
        <v>9900</v>
      </c>
    </row>
    <row r="783" spans="1:3" x14ac:dyDescent="0.25">
      <c r="A783" t="s">
        <v>2924</v>
      </c>
      <c r="B783">
        <v>14</v>
      </c>
      <c r="C783">
        <v>7000</v>
      </c>
    </row>
    <row r="784" spans="1:3" x14ac:dyDescent="0.25">
      <c r="A784" t="s">
        <v>2925</v>
      </c>
      <c r="B784">
        <v>30</v>
      </c>
      <c r="C784">
        <v>12750</v>
      </c>
    </row>
    <row r="785" spans="1:3" x14ac:dyDescent="0.25">
      <c r="A785" t="s">
        <v>2926</v>
      </c>
      <c r="B785">
        <v>0</v>
      </c>
      <c r="C785">
        <v>10900</v>
      </c>
    </row>
    <row r="786" spans="1:3" x14ac:dyDescent="0.25">
      <c r="A786" t="s">
        <v>2927</v>
      </c>
      <c r="B786">
        <v>0</v>
      </c>
      <c r="C786">
        <v>9050</v>
      </c>
    </row>
    <row r="787" spans="1:3" x14ac:dyDescent="0.25">
      <c r="A787" t="s">
        <v>2928</v>
      </c>
      <c r="B787">
        <v>0</v>
      </c>
      <c r="C787">
        <v>7350</v>
      </c>
    </row>
    <row r="788" spans="1:3" x14ac:dyDescent="0.25">
      <c r="A788" t="s">
        <v>2929</v>
      </c>
      <c r="B788">
        <v>0</v>
      </c>
      <c r="C788">
        <v>5200</v>
      </c>
    </row>
    <row r="789" spans="1:3" x14ac:dyDescent="0.25">
      <c r="A789" t="s">
        <v>2930</v>
      </c>
      <c r="B789">
        <v>0</v>
      </c>
      <c r="C789">
        <v>950</v>
      </c>
    </row>
    <row r="790" spans="1:3" x14ac:dyDescent="0.25">
      <c r="A790" t="s">
        <v>2931</v>
      </c>
      <c r="B790">
        <v>0</v>
      </c>
      <c r="C790">
        <v>960</v>
      </c>
    </row>
    <row r="791" spans="1:3" x14ac:dyDescent="0.25">
      <c r="A791" t="s">
        <v>2932</v>
      </c>
      <c r="B791">
        <v>0</v>
      </c>
      <c r="C791">
        <v>1100</v>
      </c>
    </row>
    <row r="792" spans="1:3" x14ac:dyDescent="0.25">
      <c r="A792" t="s">
        <v>2933</v>
      </c>
      <c r="B792">
        <v>0</v>
      </c>
      <c r="C792">
        <v>660</v>
      </c>
    </row>
    <row r="793" spans="1:3" x14ac:dyDescent="0.25">
      <c r="A793" t="s">
        <v>2934</v>
      </c>
      <c r="B793">
        <v>0</v>
      </c>
      <c r="C793">
        <v>3300</v>
      </c>
    </row>
    <row r="794" spans="1:3" x14ac:dyDescent="0.25">
      <c r="A794" t="s">
        <v>2935</v>
      </c>
      <c r="B794">
        <v>0</v>
      </c>
      <c r="C794">
        <v>4400</v>
      </c>
    </row>
    <row r="795" spans="1:3" x14ac:dyDescent="0.25">
      <c r="A795" t="s">
        <v>2936</v>
      </c>
      <c r="B795">
        <v>5</v>
      </c>
      <c r="C795">
        <v>5500</v>
      </c>
    </row>
    <row r="796" spans="1:3" x14ac:dyDescent="0.25">
      <c r="A796" t="s">
        <v>2937</v>
      </c>
      <c r="B796">
        <v>0</v>
      </c>
      <c r="C796">
        <v>22000</v>
      </c>
    </row>
    <row r="797" spans="1:3" x14ac:dyDescent="0.25">
      <c r="A797" t="s">
        <v>2938</v>
      </c>
      <c r="B797">
        <v>4</v>
      </c>
      <c r="C797">
        <v>3390</v>
      </c>
    </row>
    <row r="798" spans="1:3" x14ac:dyDescent="0.25">
      <c r="A798" t="s">
        <v>2939</v>
      </c>
      <c r="B798">
        <v>0</v>
      </c>
      <c r="C798">
        <v>4520</v>
      </c>
    </row>
    <row r="799" spans="1:3" x14ac:dyDescent="0.25">
      <c r="A799" t="s">
        <v>2940</v>
      </c>
      <c r="B799">
        <v>0</v>
      </c>
      <c r="C799">
        <v>5650</v>
      </c>
    </row>
    <row r="800" spans="1:3" x14ac:dyDescent="0.25">
      <c r="A800" t="s">
        <v>2941</v>
      </c>
      <c r="B800">
        <v>0</v>
      </c>
      <c r="C800">
        <v>1200</v>
      </c>
    </row>
    <row r="801" spans="1:3" x14ac:dyDescent="0.25">
      <c r="A801" t="s">
        <v>2942</v>
      </c>
      <c r="B801">
        <v>0</v>
      </c>
      <c r="C801">
        <v>17500</v>
      </c>
    </row>
    <row r="802" spans="1:3" x14ac:dyDescent="0.25">
      <c r="A802" t="s">
        <v>2943</v>
      </c>
      <c r="B802">
        <v>0</v>
      </c>
      <c r="C802">
        <v>170</v>
      </c>
    </row>
    <row r="803" spans="1:3" x14ac:dyDescent="0.25">
      <c r="A803" t="s">
        <v>2944</v>
      </c>
      <c r="B803">
        <v>0</v>
      </c>
      <c r="C803">
        <v>1660</v>
      </c>
    </row>
    <row r="804" spans="1:3" x14ac:dyDescent="0.25">
      <c r="A804" t="s">
        <v>2945</v>
      </c>
      <c r="B804">
        <v>0</v>
      </c>
      <c r="C804">
        <v>810</v>
      </c>
    </row>
    <row r="805" spans="1:3" x14ac:dyDescent="0.25">
      <c r="A805" t="s">
        <v>2946</v>
      </c>
      <c r="B805">
        <v>0</v>
      </c>
      <c r="C805">
        <v>1</v>
      </c>
    </row>
    <row r="806" spans="1:3" x14ac:dyDescent="0.25">
      <c r="A806" t="s">
        <v>2947</v>
      </c>
      <c r="B806">
        <v>0</v>
      </c>
      <c r="C806">
        <v>1</v>
      </c>
    </row>
    <row r="807" spans="1:3" x14ac:dyDescent="0.25">
      <c r="A807" t="s">
        <v>2948</v>
      </c>
      <c r="B807">
        <v>0</v>
      </c>
      <c r="C807">
        <v>1</v>
      </c>
    </row>
    <row r="808" spans="1:3" x14ac:dyDescent="0.25">
      <c r="A808" t="s">
        <v>2949</v>
      </c>
      <c r="B808">
        <v>0</v>
      </c>
      <c r="C808">
        <v>7000</v>
      </c>
    </row>
    <row r="809" spans="1:3" x14ac:dyDescent="0.25">
      <c r="A809" t="s">
        <v>2950</v>
      </c>
      <c r="B809">
        <v>0</v>
      </c>
      <c r="C809">
        <v>3450</v>
      </c>
    </row>
    <row r="810" spans="1:3" x14ac:dyDescent="0.25">
      <c r="A810" t="s">
        <v>2951</v>
      </c>
      <c r="B810">
        <v>0</v>
      </c>
      <c r="C810">
        <v>5250</v>
      </c>
    </row>
    <row r="811" spans="1:3" x14ac:dyDescent="0.25">
      <c r="A811" t="s">
        <v>2952</v>
      </c>
      <c r="B811">
        <v>0</v>
      </c>
      <c r="C811">
        <v>800</v>
      </c>
    </row>
    <row r="812" spans="1:3" x14ac:dyDescent="0.25">
      <c r="A812" t="s">
        <v>2953</v>
      </c>
      <c r="B812">
        <v>0</v>
      </c>
      <c r="C812">
        <v>1</v>
      </c>
    </row>
    <row r="813" spans="1:3" x14ac:dyDescent="0.25">
      <c r="A813" t="s">
        <v>2954</v>
      </c>
      <c r="B813">
        <v>0</v>
      </c>
      <c r="C813">
        <v>1</v>
      </c>
    </row>
    <row r="814" spans="1:3" x14ac:dyDescent="0.25">
      <c r="A814" t="s">
        <v>2955</v>
      </c>
      <c r="B814">
        <v>0</v>
      </c>
      <c r="C814">
        <v>4000</v>
      </c>
    </row>
    <row r="815" spans="1:3" x14ac:dyDescent="0.25">
      <c r="A815" t="s">
        <v>2956</v>
      </c>
      <c r="B815">
        <v>0</v>
      </c>
      <c r="C815">
        <v>8000</v>
      </c>
    </row>
    <row r="816" spans="1:3" x14ac:dyDescent="0.25">
      <c r="A816" t="s">
        <v>2957</v>
      </c>
      <c r="B816">
        <v>0</v>
      </c>
      <c r="C816">
        <v>2550</v>
      </c>
    </row>
    <row r="817" spans="1:3" x14ac:dyDescent="0.25">
      <c r="A817" t="s">
        <v>2958</v>
      </c>
      <c r="B817">
        <v>0</v>
      </c>
      <c r="C817">
        <v>5050</v>
      </c>
    </row>
    <row r="818" spans="1:3" x14ac:dyDescent="0.25">
      <c r="A818" t="s">
        <v>2959</v>
      </c>
      <c r="B818">
        <v>0</v>
      </c>
      <c r="C818">
        <v>4500</v>
      </c>
    </row>
    <row r="819" spans="1:3" x14ac:dyDescent="0.25">
      <c r="A819" t="s">
        <v>2960</v>
      </c>
      <c r="B819">
        <v>0</v>
      </c>
      <c r="C819">
        <v>3600</v>
      </c>
    </row>
    <row r="820" spans="1:3" x14ac:dyDescent="0.25">
      <c r="A820" t="s">
        <v>2961</v>
      </c>
      <c r="B820">
        <v>0</v>
      </c>
      <c r="C820">
        <v>8000</v>
      </c>
    </row>
    <row r="821" spans="1:3" x14ac:dyDescent="0.25">
      <c r="A821" t="s">
        <v>2962</v>
      </c>
      <c r="B821">
        <v>0</v>
      </c>
      <c r="C821">
        <v>15250</v>
      </c>
    </row>
    <row r="822" spans="1:3" x14ac:dyDescent="0.25">
      <c r="A822" t="s">
        <v>2963</v>
      </c>
      <c r="B822">
        <v>0</v>
      </c>
      <c r="C822">
        <v>215</v>
      </c>
    </row>
    <row r="823" spans="1:3" x14ac:dyDescent="0.25">
      <c r="A823" t="s">
        <v>2964</v>
      </c>
      <c r="B823">
        <v>0</v>
      </c>
      <c r="C823">
        <v>1</v>
      </c>
    </row>
    <row r="824" spans="1:3" x14ac:dyDescent="0.25">
      <c r="A824" t="s">
        <v>2965</v>
      </c>
      <c r="B824">
        <v>0</v>
      </c>
      <c r="C824">
        <v>5750</v>
      </c>
    </row>
    <row r="825" spans="1:3" x14ac:dyDescent="0.25">
      <c r="A825" t="s">
        <v>2966</v>
      </c>
      <c r="B825">
        <v>7</v>
      </c>
      <c r="C825">
        <v>1</v>
      </c>
    </row>
    <row r="826" spans="1:3" x14ac:dyDescent="0.25">
      <c r="A826" t="s">
        <v>2967</v>
      </c>
      <c r="B826">
        <v>64</v>
      </c>
      <c r="C826">
        <v>12550</v>
      </c>
    </row>
    <row r="827" spans="1:3" x14ac:dyDescent="0.25">
      <c r="A827" t="s">
        <v>2968</v>
      </c>
      <c r="B827">
        <v>0</v>
      </c>
      <c r="C827">
        <v>4800</v>
      </c>
    </row>
    <row r="828" spans="1:3" x14ac:dyDescent="0.25">
      <c r="A828" t="s">
        <v>2969</v>
      </c>
      <c r="B828">
        <v>0</v>
      </c>
      <c r="C828">
        <v>35000</v>
      </c>
    </row>
    <row r="829" spans="1:3" x14ac:dyDescent="0.25">
      <c r="A829" t="s">
        <v>2970</v>
      </c>
      <c r="B829">
        <v>0</v>
      </c>
      <c r="C829">
        <v>1100</v>
      </c>
    </row>
    <row r="830" spans="1:3" x14ac:dyDescent="0.25">
      <c r="A830" t="s">
        <v>2971</v>
      </c>
      <c r="B830">
        <v>0</v>
      </c>
      <c r="C830">
        <v>1650</v>
      </c>
    </row>
    <row r="831" spans="1:3" x14ac:dyDescent="0.25">
      <c r="A831" t="s">
        <v>2972</v>
      </c>
      <c r="B831">
        <v>0</v>
      </c>
      <c r="C831">
        <v>8550</v>
      </c>
    </row>
    <row r="832" spans="1:3" x14ac:dyDescent="0.25">
      <c r="A832" t="s">
        <v>2973</v>
      </c>
      <c r="B832">
        <v>0</v>
      </c>
      <c r="C832">
        <v>3150</v>
      </c>
    </row>
    <row r="833" spans="1:3" x14ac:dyDescent="0.25">
      <c r="A833" t="s">
        <v>2974</v>
      </c>
      <c r="B833">
        <v>0</v>
      </c>
      <c r="C833">
        <v>0</v>
      </c>
    </row>
    <row r="834" spans="1:3" x14ac:dyDescent="0.25">
      <c r="A834" t="s">
        <v>2975</v>
      </c>
      <c r="B834">
        <v>0</v>
      </c>
      <c r="C834">
        <v>0</v>
      </c>
    </row>
    <row r="835" spans="1:3" x14ac:dyDescent="0.25">
      <c r="A835" t="s">
        <v>2976</v>
      </c>
      <c r="B835">
        <v>0</v>
      </c>
      <c r="C835">
        <v>2760</v>
      </c>
    </row>
    <row r="836" spans="1:3" x14ac:dyDescent="0.25">
      <c r="A836" t="s">
        <v>2977</v>
      </c>
      <c r="B836">
        <v>0</v>
      </c>
      <c r="C836">
        <v>2850</v>
      </c>
    </row>
    <row r="837" spans="1:3" x14ac:dyDescent="0.25">
      <c r="A837" t="s">
        <v>2978</v>
      </c>
      <c r="B837">
        <v>0</v>
      </c>
      <c r="C837">
        <v>1450</v>
      </c>
    </row>
    <row r="838" spans="1:3" x14ac:dyDescent="0.25">
      <c r="A838" t="s">
        <v>2979</v>
      </c>
      <c r="B838">
        <v>0</v>
      </c>
      <c r="C838">
        <v>790</v>
      </c>
    </row>
    <row r="839" spans="1:3" x14ac:dyDescent="0.25">
      <c r="A839" t="s">
        <v>2980</v>
      </c>
      <c r="B839">
        <v>0</v>
      </c>
      <c r="C839">
        <v>12900</v>
      </c>
    </row>
    <row r="840" spans="1:3" x14ac:dyDescent="0.25">
      <c r="A840" t="s">
        <v>2981</v>
      </c>
      <c r="B840">
        <v>0</v>
      </c>
      <c r="C840">
        <v>3650</v>
      </c>
    </row>
    <row r="841" spans="1:3" x14ac:dyDescent="0.25">
      <c r="A841" t="s">
        <v>2982</v>
      </c>
      <c r="B841">
        <v>0</v>
      </c>
      <c r="C841">
        <v>3600</v>
      </c>
    </row>
    <row r="842" spans="1:3" x14ac:dyDescent="0.25">
      <c r="A842" t="s">
        <v>2983</v>
      </c>
      <c r="B842">
        <v>0</v>
      </c>
      <c r="C842">
        <v>5000</v>
      </c>
    </row>
    <row r="843" spans="1:3" x14ac:dyDescent="0.25">
      <c r="A843" t="s">
        <v>2984</v>
      </c>
      <c r="B843">
        <v>0</v>
      </c>
      <c r="C843">
        <v>4500</v>
      </c>
    </row>
    <row r="844" spans="1:3" x14ac:dyDescent="0.25">
      <c r="A844" t="s">
        <v>2985</v>
      </c>
      <c r="B844">
        <v>0</v>
      </c>
      <c r="C844">
        <v>5400</v>
      </c>
    </row>
    <row r="845" spans="1:3" x14ac:dyDescent="0.25">
      <c r="A845" t="s">
        <v>2986</v>
      </c>
      <c r="B845">
        <v>0</v>
      </c>
      <c r="C845">
        <v>6518.75</v>
      </c>
    </row>
    <row r="846" spans="1:3" x14ac:dyDescent="0.25">
      <c r="A846" t="s">
        <v>2987</v>
      </c>
      <c r="B846">
        <v>8</v>
      </c>
      <c r="C846">
        <v>3750</v>
      </c>
    </row>
    <row r="847" spans="1:3" x14ac:dyDescent="0.25">
      <c r="A847" t="s">
        <v>2988</v>
      </c>
      <c r="B847">
        <v>0</v>
      </c>
      <c r="C847">
        <v>1250</v>
      </c>
    </row>
    <row r="848" spans="1:3" x14ac:dyDescent="0.25">
      <c r="A848" t="s">
        <v>2989</v>
      </c>
      <c r="B848">
        <v>0</v>
      </c>
      <c r="C848">
        <v>12200</v>
      </c>
    </row>
    <row r="849" spans="1:3" x14ac:dyDescent="0.25">
      <c r="A849" t="s">
        <v>2990</v>
      </c>
      <c r="B849">
        <v>0</v>
      </c>
      <c r="C849">
        <v>1250</v>
      </c>
    </row>
    <row r="850" spans="1:3" x14ac:dyDescent="0.25">
      <c r="A850" t="s">
        <v>2991</v>
      </c>
      <c r="B850">
        <v>0</v>
      </c>
      <c r="C850">
        <v>4500</v>
      </c>
    </row>
    <row r="851" spans="1:3" x14ac:dyDescent="0.25">
      <c r="A851" t="s">
        <v>2992</v>
      </c>
      <c r="B851">
        <v>0</v>
      </c>
      <c r="C851">
        <v>6600</v>
      </c>
    </row>
    <row r="852" spans="1:3" x14ac:dyDescent="0.25">
      <c r="A852" t="s">
        <v>2993</v>
      </c>
      <c r="B852">
        <v>8</v>
      </c>
      <c r="C852">
        <v>5200</v>
      </c>
    </row>
    <row r="853" spans="1:3" x14ac:dyDescent="0.25">
      <c r="A853" t="s">
        <v>2994</v>
      </c>
      <c r="B853">
        <v>0</v>
      </c>
      <c r="C853">
        <v>12500</v>
      </c>
    </row>
    <row r="854" spans="1:3" x14ac:dyDescent="0.25">
      <c r="A854" t="s">
        <v>2995</v>
      </c>
      <c r="B854">
        <v>0</v>
      </c>
      <c r="C854">
        <v>1</v>
      </c>
    </row>
    <row r="855" spans="1:3" x14ac:dyDescent="0.25">
      <c r="A855" t="s">
        <v>2996</v>
      </c>
      <c r="B855">
        <v>0</v>
      </c>
      <c r="C855">
        <v>11750</v>
      </c>
    </row>
    <row r="856" spans="1:3" x14ac:dyDescent="0.25">
      <c r="A856" t="s">
        <v>2997</v>
      </c>
      <c r="B856">
        <v>0</v>
      </c>
      <c r="C856">
        <v>14000</v>
      </c>
    </row>
    <row r="857" spans="1:3" x14ac:dyDescent="0.25">
      <c r="A857" t="s">
        <v>71</v>
      </c>
      <c r="B857">
        <v>487</v>
      </c>
      <c r="C857">
        <v>8500</v>
      </c>
    </row>
    <row r="858" spans="1:3" x14ac:dyDescent="0.25">
      <c r="A858" t="s">
        <v>2998</v>
      </c>
      <c r="B858">
        <v>0</v>
      </c>
      <c r="C858">
        <v>750</v>
      </c>
    </row>
    <row r="859" spans="1:3" x14ac:dyDescent="0.25">
      <c r="A859" t="s">
        <v>2999</v>
      </c>
      <c r="B859">
        <v>223</v>
      </c>
      <c r="C859">
        <v>12750</v>
      </c>
    </row>
    <row r="860" spans="1:3" x14ac:dyDescent="0.25">
      <c r="A860" t="s">
        <v>3000</v>
      </c>
      <c r="B860">
        <v>155</v>
      </c>
      <c r="C860">
        <v>16500</v>
      </c>
    </row>
    <row r="861" spans="1:3" x14ac:dyDescent="0.25">
      <c r="A861" t="s">
        <v>3001</v>
      </c>
      <c r="B861">
        <v>0</v>
      </c>
      <c r="C861">
        <v>18200</v>
      </c>
    </row>
    <row r="862" spans="1:3" x14ac:dyDescent="0.25">
      <c r="A862" t="s">
        <v>3002</v>
      </c>
      <c r="B862">
        <v>0</v>
      </c>
      <c r="C862">
        <v>8400</v>
      </c>
    </row>
    <row r="863" spans="1:3" x14ac:dyDescent="0.25">
      <c r="A863" t="s">
        <v>3003</v>
      </c>
      <c r="B863">
        <v>0</v>
      </c>
      <c r="C863">
        <v>1200</v>
      </c>
    </row>
    <row r="864" spans="1:3" x14ac:dyDescent="0.25">
      <c r="A864" t="s">
        <v>3004</v>
      </c>
      <c r="B864">
        <v>1</v>
      </c>
      <c r="C864">
        <v>8850</v>
      </c>
    </row>
    <row r="865" spans="1:3" x14ac:dyDescent="0.25">
      <c r="A865" t="s">
        <v>3005</v>
      </c>
      <c r="B865">
        <v>0</v>
      </c>
      <c r="C865">
        <v>2050</v>
      </c>
    </row>
    <row r="866" spans="1:3" x14ac:dyDescent="0.25">
      <c r="A866" t="s">
        <v>3006</v>
      </c>
      <c r="B866">
        <v>0</v>
      </c>
      <c r="C866">
        <v>4105</v>
      </c>
    </row>
    <row r="867" spans="1:3" x14ac:dyDescent="0.25">
      <c r="A867" t="s">
        <v>3007</v>
      </c>
      <c r="B867">
        <v>0</v>
      </c>
      <c r="C867">
        <v>5050</v>
      </c>
    </row>
    <row r="868" spans="1:3" x14ac:dyDescent="0.25">
      <c r="A868" t="s">
        <v>3008</v>
      </c>
      <c r="B868">
        <v>0</v>
      </c>
      <c r="C868">
        <v>1000</v>
      </c>
    </row>
    <row r="869" spans="1:3" x14ac:dyDescent="0.25">
      <c r="A869" t="s">
        <v>3009</v>
      </c>
      <c r="B869">
        <v>0</v>
      </c>
      <c r="C869">
        <v>6100</v>
      </c>
    </row>
    <row r="870" spans="1:3" x14ac:dyDescent="0.25">
      <c r="A870" t="s">
        <v>3010</v>
      </c>
      <c r="B870">
        <v>0</v>
      </c>
      <c r="C870">
        <v>3750</v>
      </c>
    </row>
    <row r="871" spans="1:3" x14ac:dyDescent="0.25">
      <c r="A871" t="s">
        <v>3011</v>
      </c>
      <c r="B871">
        <v>0</v>
      </c>
      <c r="C871">
        <v>9350</v>
      </c>
    </row>
    <row r="872" spans="1:3" x14ac:dyDescent="0.25">
      <c r="A872" t="s">
        <v>3012</v>
      </c>
      <c r="B872">
        <v>0</v>
      </c>
      <c r="C872">
        <v>5200</v>
      </c>
    </row>
    <row r="873" spans="1:3" x14ac:dyDescent="0.25">
      <c r="A873" t="s">
        <v>3013</v>
      </c>
      <c r="B873">
        <v>0</v>
      </c>
      <c r="C873">
        <v>2400</v>
      </c>
    </row>
    <row r="874" spans="1:3" x14ac:dyDescent="0.25">
      <c r="A874" t="s">
        <v>3014</v>
      </c>
      <c r="B874">
        <v>0</v>
      </c>
      <c r="C874">
        <v>3200</v>
      </c>
    </row>
    <row r="875" spans="1:3" x14ac:dyDescent="0.25">
      <c r="A875" t="s">
        <v>3015</v>
      </c>
      <c r="B875">
        <v>0</v>
      </c>
      <c r="C875">
        <v>4000</v>
      </c>
    </row>
    <row r="876" spans="1:3" x14ac:dyDescent="0.25">
      <c r="A876" t="s">
        <v>3016</v>
      </c>
      <c r="B876">
        <v>0</v>
      </c>
      <c r="C876">
        <v>1350</v>
      </c>
    </row>
    <row r="877" spans="1:3" x14ac:dyDescent="0.25">
      <c r="A877" t="s">
        <v>3017</v>
      </c>
      <c r="B877">
        <v>0</v>
      </c>
      <c r="C877">
        <v>2600</v>
      </c>
    </row>
    <row r="878" spans="1:3" x14ac:dyDescent="0.25">
      <c r="A878" t="s">
        <v>3018</v>
      </c>
      <c r="B878">
        <v>0</v>
      </c>
      <c r="C878">
        <v>5550</v>
      </c>
    </row>
    <row r="879" spans="1:3" x14ac:dyDescent="0.25">
      <c r="A879" t="s">
        <v>3019</v>
      </c>
      <c r="B879">
        <v>0</v>
      </c>
      <c r="C879">
        <v>1120</v>
      </c>
    </row>
    <row r="880" spans="1:3" x14ac:dyDescent="0.25">
      <c r="A880" t="s">
        <v>3020</v>
      </c>
      <c r="B880">
        <v>0</v>
      </c>
      <c r="C880">
        <v>520</v>
      </c>
    </row>
    <row r="881" spans="1:3" x14ac:dyDescent="0.25">
      <c r="A881" t="s">
        <v>3021</v>
      </c>
      <c r="B881">
        <v>0</v>
      </c>
      <c r="C881">
        <v>16600</v>
      </c>
    </row>
    <row r="882" spans="1:3" x14ac:dyDescent="0.25">
      <c r="A882" t="s">
        <v>3022</v>
      </c>
      <c r="B882">
        <v>0</v>
      </c>
      <c r="C882">
        <v>6000</v>
      </c>
    </row>
    <row r="883" spans="1:3" x14ac:dyDescent="0.25">
      <c r="A883" t="s">
        <v>3023</v>
      </c>
      <c r="B883">
        <v>0</v>
      </c>
      <c r="C883">
        <v>2550</v>
      </c>
    </row>
    <row r="884" spans="1:3" x14ac:dyDescent="0.25">
      <c r="A884" t="s">
        <v>3024</v>
      </c>
      <c r="B884">
        <v>0</v>
      </c>
      <c r="C884">
        <v>7200</v>
      </c>
    </row>
    <row r="885" spans="1:3" x14ac:dyDescent="0.25">
      <c r="A885" t="s">
        <v>3025</v>
      </c>
      <c r="B885">
        <v>0</v>
      </c>
      <c r="C885">
        <v>3450</v>
      </c>
    </row>
    <row r="886" spans="1:3" x14ac:dyDescent="0.25">
      <c r="A886" t="s">
        <v>3026</v>
      </c>
      <c r="B886">
        <v>0</v>
      </c>
      <c r="C886">
        <v>6550</v>
      </c>
    </row>
    <row r="887" spans="1:3" x14ac:dyDescent="0.25">
      <c r="A887" t="s">
        <v>3027</v>
      </c>
      <c r="B887">
        <v>0</v>
      </c>
      <c r="C887">
        <v>9550</v>
      </c>
    </row>
    <row r="888" spans="1:3" x14ac:dyDescent="0.25">
      <c r="A888" t="s">
        <v>3028</v>
      </c>
      <c r="B888">
        <v>0</v>
      </c>
      <c r="C888">
        <v>9350</v>
      </c>
    </row>
    <row r="889" spans="1:3" x14ac:dyDescent="0.25">
      <c r="A889" t="s">
        <v>3029</v>
      </c>
      <c r="B889">
        <v>0</v>
      </c>
      <c r="C889">
        <v>6200</v>
      </c>
    </row>
    <row r="890" spans="1:3" x14ac:dyDescent="0.25">
      <c r="A890" t="s">
        <v>3030</v>
      </c>
      <c r="B890">
        <v>0</v>
      </c>
      <c r="C890">
        <v>1200</v>
      </c>
    </row>
    <row r="891" spans="1:3" x14ac:dyDescent="0.25">
      <c r="A891" t="s">
        <v>3031</v>
      </c>
      <c r="B891">
        <v>0</v>
      </c>
      <c r="C891">
        <v>6200</v>
      </c>
    </row>
    <row r="892" spans="1:3" x14ac:dyDescent="0.25">
      <c r="A892" t="s">
        <v>3032</v>
      </c>
      <c r="B892">
        <v>0</v>
      </c>
      <c r="C892">
        <v>9750</v>
      </c>
    </row>
    <row r="893" spans="1:3" x14ac:dyDescent="0.25">
      <c r="A893" t="s">
        <v>3033</v>
      </c>
      <c r="B893">
        <v>0</v>
      </c>
      <c r="C893">
        <v>12800</v>
      </c>
    </row>
    <row r="894" spans="1:3" x14ac:dyDescent="0.25">
      <c r="A894" t="s">
        <v>3034</v>
      </c>
      <c r="B894">
        <v>31</v>
      </c>
      <c r="C894">
        <v>4800</v>
      </c>
    </row>
    <row r="895" spans="1:3" x14ac:dyDescent="0.25">
      <c r="A895" t="s">
        <v>3035</v>
      </c>
      <c r="B895">
        <v>0</v>
      </c>
      <c r="C895">
        <v>900</v>
      </c>
    </row>
    <row r="896" spans="1:3" x14ac:dyDescent="0.25">
      <c r="A896" t="s">
        <v>3036</v>
      </c>
      <c r="B896">
        <v>0</v>
      </c>
      <c r="C896">
        <v>16200</v>
      </c>
    </row>
    <row r="897" spans="1:3" x14ac:dyDescent="0.25">
      <c r="A897" t="s">
        <v>3037</v>
      </c>
      <c r="B897">
        <v>0</v>
      </c>
      <c r="C897">
        <v>15500</v>
      </c>
    </row>
    <row r="898" spans="1:3" x14ac:dyDescent="0.25">
      <c r="A898" t="s">
        <v>3038</v>
      </c>
      <c r="B898">
        <v>0</v>
      </c>
      <c r="C898">
        <v>5400</v>
      </c>
    </row>
    <row r="899" spans="1:3" x14ac:dyDescent="0.25">
      <c r="A899" t="s">
        <v>3039</v>
      </c>
      <c r="B899">
        <v>1</v>
      </c>
      <c r="C899">
        <v>3400</v>
      </c>
    </row>
    <row r="900" spans="1:3" x14ac:dyDescent="0.25">
      <c r="A900" t="s">
        <v>3040</v>
      </c>
      <c r="B900">
        <v>0</v>
      </c>
      <c r="C900">
        <v>21900</v>
      </c>
    </row>
    <row r="901" spans="1:3" x14ac:dyDescent="0.25">
      <c r="A901" t="s">
        <v>3041</v>
      </c>
      <c r="B901">
        <v>62.5</v>
      </c>
      <c r="C901">
        <v>1150</v>
      </c>
    </row>
    <row r="902" spans="1:3" x14ac:dyDescent="0.25">
      <c r="A902" t="s">
        <v>3042</v>
      </c>
      <c r="B902">
        <v>0</v>
      </c>
      <c r="C902">
        <v>2350</v>
      </c>
    </row>
    <row r="903" spans="1:3" x14ac:dyDescent="0.25">
      <c r="A903" t="s">
        <v>3043</v>
      </c>
      <c r="B903">
        <v>0</v>
      </c>
      <c r="C903">
        <v>4800</v>
      </c>
    </row>
    <row r="904" spans="1:3" x14ac:dyDescent="0.25">
      <c r="A904" t="s">
        <v>3044</v>
      </c>
      <c r="B904">
        <v>0</v>
      </c>
      <c r="C904">
        <v>1600</v>
      </c>
    </row>
    <row r="905" spans="1:3" x14ac:dyDescent="0.25">
      <c r="A905" t="s">
        <v>3045</v>
      </c>
      <c r="B905">
        <v>0</v>
      </c>
      <c r="C905">
        <v>2400</v>
      </c>
    </row>
    <row r="906" spans="1:3" x14ac:dyDescent="0.25">
      <c r="A906" t="s">
        <v>3046</v>
      </c>
      <c r="B906">
        <v>0</v>
      </c>
      <c r="C906">
        <v>480</v>
      </c>
    </row>
    <row r="907" spans="1:3" x14ac:dyDescent="0.25">
      <c r="A907" t="s">
        <v>3047</v>
      </c>
      <c r="B907">
        <v>0</v>
      </c>
      <c r="C907">
        <v>220</v>
      </c>
    </row>
    <row r="908" spans="1:3" x14ac:dyDescent="0.25">
      <c r="A908" t="s">
        <v>3048</v>
      </c>
      <c r="B908">
        <v>0</v>
      </c>
      <c r="C908">
        <v>3200</v>
      </c>
    </row>
    <row r="909" spans="1:3" x14ac:dyDescent="0.25">
      <c r="A909" t="s">
        <v>3049</v>
      </c>
      <c r="B909">
        <v>0</v>
      </c>
      <c r="C909">
        <v>1.25</v>
      </c>
    </row>
    <row r="910" spans="1:3" x14ac:dyDescent="0.25">
      <c r="A910" t="s">
        <v>3050</v>
      </c>
      <c r="B910">
        <v>0</v>
      </c>
      <c r="C910">
        <v>21650</v>
      </c>
    </row>
    <row r="911" spans="1:3" x14ac:dyDescent="0.25">
      <c r="A911" t="s">
        <v>3051</v>
      </c>
      <c r="B911">
        <v>0</v>
      </c>
      <c r="C911">
        <v>15900</v>
      </c>
    </row>
    <row r="912" spans="1:3" x14ac:dyDescent="0.25">
      <c r="A912" t="s">
        <v>3052</v>
      </c>
      <c r="B912">
        <v>21</v>
      </c>
      <c r="C912">
        <v>3850</v>
      </c>
    </row>
    <row r="913" spans="1:3" x14ac:dyDescent="0.25">
      <c r="A913" t="s">
        <v>3053</v>
      </c>
      <c r="B913">
        <v>0</v>
      </c>
      <c r="C913">
        <v>397.5</v>
      </c>
    </row>
    <row r="914" spans="1:3" x14ac:dyDescent="0.25">
      <c r="A914" t="s">
        <v>3054</v>
      </c>
      <c r="B914">
        <v>0</v>
      </c>
      <c r="C914">
        <v>8000</v>
      </c>
    </row>
    <row r="915" spans="1:3" x14ac:dyDescent="0.25">
      <c r="A915" t="s">
        <v>3055</v>
      </c>
      <c r="B915">
        <v>0</v>
      </c>
      <c r="C915">
        <v>1175</v>
      </c>
    </row>
    <row r="916" spans="1:3" x14ac:dyDescent="0.25">
      <c r="A916" t="s">
        <v>3056</v>
      </c>
      <c r="B916">
        <v>0</v>
      </c>
      <c r="C916">
        <v>10200</v>
      </c>
    </row>
    <row r="917" spans="1:3" x14ac:dyDescent="0.25">
      <c r="A917" t="s">
        <v>3057</v>
      </c>
      <c r="B917">
        <v>0</v>
      </c>
      <c r="C917">
        <v>5600</v>
      </c>
    </row>
    <row r="918" spans="1:3" x14ac:dyDescent="0.25">
      <c r="A918" t="s">
        <v>3058</v>
      </c>
      <c r="B918">
        <v>0</v>
      </c>
      <c r="C918">
        <v>3500</v>
      </c>
    </row>
    <row r="919" spans="1:3" x14ac:dyDescent="0.25">
      <c r="A919" t="s">
        <v>3059</v>
      </c>
      <c r="B919">
        <v>0</v>
      </c>
      <c r="C919">
        <v>4720</v>
      </c>
    </row>
    <row r="920" spans="1:3" x14ac:dyDescent="0.25">
      <c r="A920" t="s">
        <v>3060</v>
      </c>
      <c r="B920">
        <v>0</v>
      </c>
      <c r="C920">
        <v>300</v>
      </c>
    </row>
    <row r="921" spans="1:3" x14ac:dyDescent="0.25">
      <c r="A921" t="s">
        <v>3061</v>
      </c>
      <c r="B921">
        <v>0</v>
      </c>
      <c r="C921">
        <v>1600</v>
      </c>
    </row>
    <row r="922" spans="1:3" x14ac:dyDescent="0.25">
      <c r="A922" t="s">
        <v>3062</v>
      </c>
      <c r="B922">
        <v>0</v>
      </c>
      <c r="C922">
        <v>4700</v>
      </c>
    </row>
    <row r="923" spans="1:3" x14ac:dyDescent="0.25">
      <c r="A923" t="s">
        <v>3063</v>
      </c>
      <c r="B923">
        <v>0</v>
      </c>
      <c r="C923">
        <v>9400</v>
      </c>
    </row>
    <row r="924" spans="1:3" x14ac:dyDescent="0.25">
      <c r="A924" t="s">
        <v>3064</v>
      </c>
      <c r="B924">
        <v>0</v>
      </c>
      <c r="C924">
        <v>7050</v>
      </c>
    </row>
    <row r="925" spans="1:3" x14ac:dyDescent="0.25">
      <c r="A925" t="s">
        <v>3065</v>
      </c>
      <c r="B925">
        <v>0</v>
      </c>
      <c r="C925">
        <v>260</v>
      </c>
    </row>
    <row r="926" spans="1:3" x14ac:dyDescent="0.25">
      <c r="A926" t="s">
        <v>3066</v>
      </c>
      <c r="B926">
        <v>0</v>
      </c>
      <c r="C926">
        <v>6900</v>
      </c>
    </row>
    <row r="927" spans="1:3" x14ac:dyDescent="0.25">
      <c r="A927" t="s">
        <v>3067</v>
      </c>
      <c r="B927">
        <v>0</v>
      </c>
      <c r="C927">
        <v>2200</v>
      </c>
    </row>
    <row r="928" spans="1:3" x14ac:dyDescent="0.25">
      <c r="A928" t="s">
        <v>3068</v>
      </c>
      <c r="B928">
        <v>0</v>
      </c>
      <c r="C928">
        <v>9200</v>
      </c>
    </row>
    <row r="929" spans="1:3" x14ac:dyDescent="0.25">
      <c r="A929" t="s">
        <v>3069</v>
      </c>
      <c r="B929">
        <v>1</v>
      </c>
      <c r="C929">
        <v>7350</v>
      </c>
    </row>
    <row r="930" spans="1:3" x14ac:dyDescent="0.25">
      <c r="A930" t="s">
        <v>3070</v>
      </c>
      <c r="B930">
        <v>0</v>
      </c>
      <c r="C930">
        <v>3550</v>
      </c>
    </row>
    <row r="931" spans="1:3" x14ac:dyDescent="0.25">
      <c r="A931" t="s">
        <v>3071</v>
      </c>
      <c r="B931">
        <v>30</v>
      </c>
      <c r="C931">
        <v>11050</v>
      </c>
    </row>
    <row r="932" spans="1:3" x14ac:dyDescent="0.25">
      <c r="A932" t="s">
        <v>3072</v>
      </c>
      <c r="B932">
        <v>0</v>
      </c>
      <c r="C932">
        <v>450</v>
      </c>
    </row>
    <row r="933" spans="1:3" x14ac:dyDescent="0.25">
      <c r="A933" t="s">
        <v>3073</v>
      </c>
      <c r="B933">
        <v>1</v>
      </c>
      <c r="C933">
        <v>7400</v>
      </c>
    </row>
    <row r="934" spans="1:3" x14ac:dyDescent="0.25">
      <c r="A934" t="s">
        <v>3074</v>
      </c>
      <c r="B934">
        <v>0</v>
      </c>
      <c r="C934">
        <v>15000</v>
      </c>
    </row>
    <row r="935" spans="1:3" x14ac:dyDescent="0.25">
      <c r="A935" t="s">
        <v>3075</v>
      </c>
      <c r="B935">
        <v>0</v>
      </c>
      <c r="C935">
        <v>58950</v>
      </c>
    </row>
    <row r="936" spans="1:3" x14ac:dyDescent="0.25">
      <c r="A936" t="s">
        <v>3076</v>
      </c>
      <c r="B936">
        <v>37</v>
      </c>
      <c r="C936">
        <v>4800</v>
      </c>
    </row>
    <row r="937" spans="1:3" x14ac:dyDescent="0.25">
      <c r="A937" t="s">
        <v>61</v>
      </c>
      <c r="B937">
        <v>164.7</v>
      </c>
      <c r="C937">
        <v>2950</v>
      </c>
    </row>
    <row r="938" spans="1:3" x14ac:dyDescent="0.25">
      <c r="A938" t="s">
        <v>3077</v>
      </c>
      <c r="B938">
        <v>35</v>
      </c>
      <c r="C938">
        <v>3550</v>
      </c>
    </row>
    <row r="939" spans="1:3" x14ac:dyDescent="0.25">
      <c r="A939" t="s">
        <v>3078</v>
      </c>
      <c r="B939">
        <v>0</v>
      </c>
      <c r="C939">
        <v>5350</v>
      </c>
    </row>
    <row r="940" spans="1:3" x14ac:dyDescent="0.25">
      <c r="A940" t="s">
        <v>3079</v>
      </c>
      <c r="B940">
        <v>0</v>
      </c>
      <c r="C940">
        <v>150</v>
      </c>
    </row>
    <row r="941" spans="1:3" x14ac:dyDescent="0.25">
      <c r="A941" t="s">
        <v>3080</v>
      </c>
      <c r="B941">
        <v>0</v>
      </c>
      <c r="C941">
        <v>1.25</v>
      </c>
    </row>
    <row r="942" spans="1:3" x14ac:dyDescent="0.25">
      <c r="A942" t="s">
        <v>3081</v>
      </c>
      <c r="B942">
        <v>0</v>
      </c>
      <c r="C942">
        <v>1450</v>
      </c>
    </row>
    <row r="943" spans="1:3" x14ac:dyDescent="0.25">
      <c r="A943" t="s">
        <v>3082</v>
      </c>
      <c r="B943">
        <v>0</v>
      </c>
      <c r="C943">
        <v>1775</v>
      </c>
    </row>
    <row r="944" spans="1:3" x14ac:dyDescent="0.25">
      <c r="A944" t="s">
        <v>3083</v>
      </c>
      <c r="B944">
        <v>0</v>
      </c>
      <c r="C944">
        <v>9500</v>
      </c>
    </row>
    <row r="945" spans="1:3" x14ac:dyDescent="0.25">
      <c r="A945" t="s">
        <v>3084</v>
      </c>
      <c r="B945">
        <v>0</v>
      </c>
      <c r="C945">
        <v>1.25</v>
      </c>
    </row>
    <row r="946" spans="1:3" x14ac:dyDescent="0.25">
      <c r="A946" t="s">
        <v>3085</v>
      </c>
      <c r="B946">
        <v>0</v>
      </c>
      <c r="C946">
        <v>15781.25</v>
      </c>
    </row>
    <row r="947" spans="1:3" x14ac:dyDescent="0.25">
      <c r="A947" t="s">
        <v>3086</v>
      </c>
      <c r="B947">
        <v>8.6</v>
      </c>
      <c r="C947">
        <v>3950</v>
      </c>
    </row>
    <row r="948" spans="1:3" x14ac:dyDescent="0.25">
      <c r="A948" t="s">
        <v>3087</v>
      </c>
      <c r="B948">
        <v>0</v>
      </c>
      <c r="C948">
        <v>3800</v>
      </c>
    </row>
    <row r="949" spans="1:3" x14ac:dyDescent="0.25">
      <c r="A949" t="s">
        <v>3088</v>
      </c>
      <c r="B949">
        <v>0</v>
      </c>
      <c r="C949">
        <v>2600</v>
      </c>
    </row>
    <row r="950" spans="1:3" x14ac:dyDescent="0.25">
      <c r="A950" t="s">
        <v>3089</v>
      </c>
      <c r="B950">
        <v>0</v>
      </c>
      <c r="C950">
        <v>1700</v>
      </c>
    </row>
    <row r="951" spans="1:3" x14ac:dyDescent="0.25">
      <c r="A951" t="s">
        <v>3090</v>
      </c>
      <c r="B951">
        <v>0</v>
      </c>
      <c r="C951">
        <v>3500</v>
      </c>
    </row>
    <row r="952" spans="1:3" x14ac:dyDescent="0.25">
      <c r="A952" t="s">
        <v>3091</v>
      </c>
      <c r="B952">
        <v>26.4</v>
      </c>
      <c r="C952">
        <v>4450</v>
      </c>
    </row>
    <row r="953" spans="1:3" x14ac:dyDescent="0.25">
      <c r="A953" t="s">
        <v>3</v>
      </c>
      <c r="B953">
        <v>3709.3</v>
      </c>
      <c r="C953">
        <v>4450</v>
      </c>
    </row>
    <row r="954" spans="1:3" x14ac:dyDescent="0.25">
      <c r="A954" t="s">
        <v>3092</v>
      </c>
      <c r="B954">
        <v>0</v>
      </c>
      <c r="C954">
        <v>0</v>
      </c>
    </row>
    <row r="955" spans="1:3" x14ac:dyDescent="0.25">
      <c r="A955" t="s">
        <v>3093</v>
      </c>
      <c r="B955">
        <v>1</v>
      </c>
      <c r="C955">
        <v>3950</v>
      </c>
    </row>
    <row r="956" spans="1:3" x14ac:dyDescent="0.25">
      <c r="A956" t="s">
        <v>3094</v>
      </c>
      <c r="B956">
        <v>0</v>
      </c>
      <c r="C956">
        <v>1650</v>
      </c>
    </row>
    <row r="957" spans="1:3" x14ac:dyDescent="0.25">
      <c r="A957" t="s">
        <v>3095</v>
      </c>
      <c r="B957">
        <v>0</v>
      </c>
      <c r="C957">
        <v>3550</v>
      </c>
    </row>
    <row r="958" spans="1:3" x14ac:dyDescent="0.25">
      <c r="A958" t="s">
        <v>3096</v>
      </c>
      <c r="B958">
        <v>0</v>
      </c>
      <c r="C958">
        <v>8150</v>
      </c>
    </row>
    <row r="959" spans="1:3" x14ac:dyDescent="0.25">
      <c r="A959" t="s">
        <v>3097</v>
      </c>
      <c r="B959">
        <v>0</v>
      </c>
      <c r="C959">
        <v>3850</v>
      </c>
    </row>
    <row r="960" spans="1:3" x14ac:dyDescent="0.25">
      <c r="A960" t="s">
        <v>3098</v>
      </c>
      <c r="B960">
        <v>0</v>
      </c>
      <c r="C960">
        <v>25000</v>
      </c>
    </row>
    <row r="961" spans="1:3" x14ac:dyDescent="0.25">
      <c r="A961" t="s">
        <v>3099</v>
      </c>
      <c r="B961">
        <v>13</v>
      </c>
      <c r="C961">
        <v>3200</v>
      </c>
    </row>
    <row r="962" spans="1:3" x14ac:dyDescent="0.25">
      <c r="A962" t="s">
        <v>3100</v>
      </c>
      <c r="B962">
        <v>0</v>
      </c>
      <c r="C962">
        <v>6000</v>
      </c>
    </row>
    <row r="963" spans="1:3" x14ac:dyDescent="0.25">
      <c r="A963" t="s">
        <v>3101</v>
      </c>
      <c r="B963">
        <v>0</v>
      </c>
      <c r="C963">
        <v>6200</v>
      </c>
    </row>
    <row r="964" spans="1:3" x14ac:dyDescent="0.25">
      <c r="A964" t="s">
        <v>3102</v>
      </c>
      <c r="B964">
        <v>0</v>
      </c>
      <c r="C964">
        <v>2600</v>
      </c>
    </row>
    <row r="965" spans="1:3" x14ac:dyDescent="0.25">
      <c r="A965" t="s">
        <v>3103</v>
      </c>
      <c r="B965">
        <v>0</v>
      </c>
      <c r="C965">
        <v>7000</v>
      </c>
    </row>
    <row r="966" spans="1:3" x14ac:dyDescent="0.25">
      <c r="A966" t="s">
        <v>3104</v>
      </c>
      <c r="B966">
        <v>0</v>
      </c>
      <c r="C966">
        <v>350</v>
      </c>
    </row>
    <row r="967" spans="1:3" x14ac:dyDescent="0.25">
      <c r="A967" t="s">
        <v>3105</v>
      </c>
      <c r="B967">
        <v>0</v>
      </c>
      <c r="C967">
        <v>11050</v>
      </c>
    </row>
    <row r="968" spans="1:3" x14ac:dyDescent="0.25">
      <c r="A968" t="s">
        <v>3106</v>
      </c>
      <c r="B968">
        <v>0</v>
      </c>
      <c r="C968">
        <v>4750</v>
      </c>
    </row>
    <row r="969" spans="1:3" x14ac:dyDescent="0.25">
      <c r="A969" t="s">
        <v>3107</v>
      </c>
      <c r="B969">
        <v>1</v>
      </c>
      <c r="C969">
        <v>12400</v>
      </c>
    </row>
    <row r="970" spans="1:3" x14ac:dyDescent="0.25">
      <c r="A970" t="s">
        <v>3108</v>
      </c>
      <c r="B970">
        <v>0</v>
      </c>
      <c r="C970">
        <v>5650</v>
      </c>
    </row>
    <row r="971" spans="1:3" x14ac:dyDescent="0.25">
      <c r="A971" t="s">
        <v>3109</v>
      </c>
      <c r="B971">
        <v>0</v>
      </c>
      <c r="C971">
        <v>8100</v>
      </c>
    </row>
    <row r="972" spans="1:3" x14ac:dyDescent="0.25">
      <c r="A972" t="s">
        <v>91</v>
      </c>
      <c r="B972">
        <v>471.4</v>
      </c>
      <c r="C972">
        <v>800</v>
      </c>
    </row>
    <row r="973" spans="1:3" x14ac:dyDescent="0.25">
      <c r="A973" t="s">
        <v>3110</v>
      </c>
      <c r="B973">
        <v>0</v>
      </c>
      <c r="C973">
        <v>4300</v>
      </c>
    </row>
    <row r="974" spans="1:3" x14ac:dyDescent="0.25">
      <c r="A974" t="s">
        <v>3111</v>
      </c>
      <c r="B974">
        <v>0</v>
      </c>
      <c r="C974">
        <v>4300</v>
      </c>
    </row>
    <row r="975" spans="1:3" x14ac:dyDescent="0.25">
      <c r="A975" t="s">
        <v>3112</v>
      </c>
      <c r="B975">
        <v>0</v>
      </c>
      <c r="C975">
        <v>6800</v>
      </c>
    </row>
    <row r="976" spans="1:3" x14ac:dyDescent="0.25">
      <c r="A976" t="s">
        <v>3113</v>
      </c>
      <c r="B976">
        <v>0</v>
      </c>
      <c r="C976">
        <v>3600</v>
      </c>
    </row>
    <row r="977" spans="1:3" x14ac:dyDescent="0.25">
      <c r="A977" t="s">
        <v>3114</v>
      </c>
      <c r="B977">
        <v>0</v>
      </c>
      <c r="C977">
        <v>3850</v>
      </c>
    </row>
    <row r="978" spans="1:3" x14ac:dyDescent="0.25">
      <c r="A978" t="s">
        <v>3115</v>
      </c>
      <c r="B978">
        <v>38</v>
      </c>
      <c r="C978">
        <v>24800</v>
      </c>
    </row>
    <row r="979" spans="1:3" x14ac:dyDescent="0.25">
      <c r="A979" t="s">
        <v>3116</v>
      </c>
      <c r="B979">
        <v>0</v>
      </c>
      <c r="C979">
        <v>250</v>
      </c>
    </row>
    <row r="980" spans="1:3" x14ac:dyDescent="0.25">
      <c r="A980" t="s">
        <v>3117</v>
      </c>
      <c r="B980">
        <v>0</v>
      </c>
      <c r="C980">
        <v>0</v>
      </c>
    </row>
    <row r="981" spans="1:3" x14ac:dyDescent="0.25">
      <c r="A981" t="s">
        <v>3118</v>
      </c>
      <c r="B981">
        <v>0</v>
      </c>
      <c r="C981">
        <v>170</v>
      </c>
    </row>
    <row r="982" spans="1:3" x14ac:dyDescent="0.25">
      <c r="A982" t="s">
        <v>3119</v>
      </c>
      <c r="B982">
        <v>0</v>
      </c>
      <c r="C982">
        <v>0</v>
      </c>
    </row>
    <row r="983" spans="1:3" x14ac:dyDescent="0.25">
      <c r="A983" t="s">
        <v>3120</v>
      </c>
      <c r="B983">
        <v>0</v>
      </c>
      <c r="C983">
        <v>0</v>
      </c>
    </row>
    <row r="984" spans="1:3" x14ac:dyDescent="0.25">
      <c r="A984" t="s">
        <v>3121</v>
      </c>
      <c r="B984">
        <v>0</v>
      </c>
      <c r="C984">
        <v>0</v>
      </c>
    </row>
    <row r="985" spans="1:3" x14ac:dyDescent="0.25">
      <c r="A985" t="s">
        <v>3122</v>
      </c>
      <c r="B985">
        <v>0</v>
      </c>
      <c r="C985">
        <v>0</v>
      </c>
    </row>
    <row r="986" spans="1:3" x14ac:dyDescent="0.25">
      <c r="A986" t="s">
        <v>3123</v>
      </c>
      <c r="B986">
        <v>0</v>
      </c>
      <c r="C986">
        <v>1530</v>
      </c>
    </row>
    <row r="987" spans="1:3" x14ac:dyDescent="0.25">
      <c r="A987" t="s">
        <v>3124</v>
      </c>
      <c r="B987">
        <v>0</v>
      </c>
      <c r="C987">
        <v>2600</v>
      </c>
    </row>
    <row r="988" spans="1:3" x14ac:dyDescent="0.25">
      <c r="A988" t="s">
        <v>3125</v>
      </c>
      <c r="B988">
        <v>0</v>
      </c>
      <c r="C988">
        <v>7900</v>
      </c>
    </row>
    <row r="989" spans="1:3" x14ac:dyDescent="0.25">
      <c r="A989" t="s">
        <v>3126</v>
      </c>
      <c r="B989">
        <v>0</v>
      </c>
      <c r="C989">
        <v>5800</v>
      </c>
    </row>
    <row r="990" spans="1:3" x14ac:dyDescent="0.25">
      <c r="A990" t="s">
        <v>3127</v>
      </c>
      <c r="B990">
        <v>0</v>
      </c>
      <c r="C990">
        <v>25800</v>
      </c>
    </row>
    <row r="991" spans="1:3" x14ac:dyDescent="0.25">
      <c r="A991" t="s">
        <v>3128</v>
      </c>
      <c r="B991">
        <v>0</v>
      </c>
      <c r="C991">
        <v>20050</v>
      </c>
    </row>
    <row r="992" spans="1:3" x14ac:dyDescent="0.25">
      <c r="A992" t="s">
        <v>3129</v>
      </c>
      <c r="B992">
        <v>0</v>
      </c>
      <c r="C992">
        <v>19100</v>
      </c>
    </row>
    <row r="993" spans="1:3" x14ac:dyDescent="0.25">
      <c r="A993" t="s">
        <v>3130</v>
      </c>
      <c r="B993">
        <v>0</v>
      </c>
      <c r="C993">
        <v>1350</v>
      </c>
    </row>
    <row r="994" spans="1:3" x14ac:dyDescent="0.25">
      <c r="A994" t="s">
        <v>3131</v>
      </c>
      <c r="B994">
        <v>0</v>
      </c>
      <c r="C994">
        <v>2750</v>
      </c>
    </row>
    <row r="995" spans="1:3" x14ac:dyDescent="0.25">
      <c r="A995" t="s">
        <v>3132</v>
      </c>
      <c r="B995">
        <v>51</v>
      </c>
      <c r="C995">
        <v>6600</v>
      </c>
    </row>
    <row r="996" spans="1:3" x14ac:dyDescent="0.25">
      <c r="A996" t="s">
        <v>3133</v>
      </c>
      <c r="B996">
        <v>0</v>
      </c>
      <c r="C996">
        <v>2210</v>
      </c>
    </row>
    <row r="997" spans="1:3" x14ac:dyDescent="0.25">
      <c r="A997" t="s">
        <v>3134</v>
      </c>
      <c r="B997">
        <v>0</v>
      </c>
      <c r="C997">
        <v>9350</v>
      </c>
    </row>
    <row r="998" spans="1:3" x14ac:dyDescent="0.25">
      <c r="A998" t="s">
        <v>3135</v>
      </c>
      <c r="B998">
        <v>0</v>
      </c>
      <c r="C998">
        <v>280</v>
      </c>
    </row>
    <row r="999" spans="1:3" x14ac:dyDescent="0.25">
      <c r="A999" t="s">
        <v>3136</v>
      </c>
      <c r="B999">
        <v>0</v>
      </c>
      <c r="C999">
        <v>6000</v>
      </c>
    </row>
    <row r="1000" spans="1:3" x14ac:dyDescent="0.25">
      <c r="A1000" t="s">
        <v>3137</v>
      </c>
      <c r="B1000">
        <v>0</v>
      </c>
      <c r="C1000">
        <v>2770</v>
      </c>
    </row>
    <row r="1001" spans="1:3" x14ac:dyDescent="0.25">
      <c r="A1001" t="s">
        <v>3138</v>
      </c>
      <c r="B1001">
        <v>0</v>
      </c>
      <c r="C1001">
        <v>8450</v>
      </c>
    </row>
    <row r="1002" spans="1:3" x14ac:dyDescent="0.25">
      <c r="A1002" t="s">
        <v>3139</v>
      </c>
      <c r="B1002">
        <v>0</v>
      </c>
      <c r="C1002">
        <v>11100</v>
      </c>
    </row>
    <row r="1003" spans="1:3" x14ac:dyDescent="0.25">
      <c r="A1003" t="s">
        <v>3140</v>
      </c>
      <c r="B1003">
        <v>0</v>
      </c>
      <c r="C1003">
        <v>5200</v>
      </c>
    </row>
    <row r="1004" spans="1:3" x14ac:dyDescent="0.25">
      <c r="A1004" t="s">
        <v>3141</v>
      </c>
      <c r="B1004">
        <v>0</v>
      </c>
      <c r="C1004">
        <v>21950</v>
      </c>
    </row>
    <row r="1005" spans="1:3" x14ac:dyDescent="0.25">
      <c r="A1005" t="s">
        <v>3142</v>
      </c>
      <c r="B1005">
        <v>0</v>
      </c>
      <c r="C1005">
        <v>880</v>
      </c>
    </row>
    <row r="1006" spans="1:3" x14ac:dyDescent="0.25">
      <c r="A1006" t="s">
        <v>3143</v>
      </c>
      <c r="B1006">
        <v>0</v>
      </c>
      <c r="C1006">
        <v>880</v>
      </c>
    </row>
    <row r="1007" spans="1:3" x14ac:dyDescent="0.25">
      <c r="A1007" t="s">
        <v>3144</v>
      </c>
      <c r="B1007">
        <v>0</v>
      </c>
      <c r="C1007">
        <v>2200</v>
      </c>
    </row>
    <row r="1008" spans="1:3" x14ac:dyDescent="0.25">
      <c r="A1008" t="s">
        <v>3145</v>
      </c>
      <c r="B1008">
        <v>3256.9</v>
      </c>
      <c r="C1008">
        <v>1850</v>
      </c>
    </row>
    <row r="1009" spans="1:3" x14ac:dyDescent="0.25">
      <c r="A1009" t="s">
        <v>3146</v>
      </c>
      <c r="B1009">
        <v>0</v>
      </c>
      <c r="C1009">
        <v>8450</v>
      </c>
    </row>
    <row r="1010" spans="1:3" x14ac:dyDescent="0.25">
      <c r="A1010" t="s">
        <v>3147</v>
      </c>
      <c r="B1010">
        <v>5</v>
      </c>
      <c r="C1010">
        <v>21000</v>
      </c>
    </row>
    <row r="1011" spans="1:3" x14ac:dyDescent="0.25">
      <c r="A1011" t="s">
        <v>3148</v>
      </c>
      <c r="B1011">
        <v>0</v>
      </c>
      <c r="C1011">
        <v>16800</v>
      </c>
    </row>
    <row r="1012" spans="1:3" x14ac:dyDescent="0.25">
      <c r="A1012" t="s">
        <v>3149</v>
      </c>
      <c r="B1012">
        <v>0</v>
      </c>
      <c r="C1012">
        <v>1</v>
      </c>
    </row>
    <row r="1013" spans="1:3" x14ac:dyDescent="0.25">
      <c r="A1013" t="s">
        <v>3150</v>
      </c>
      <c r="B1013">
        <v>0</v>
      </c>
      <c r="C1013">
        <v>5750</v>
      </c>
    </row>
    <row r="1014" spans="1:3" x14ac:dyDescent="0.25">
      <c r="A1014" t="s">
        <v>3151</v>
      </c>
      <c r="B1014">
        <v>0</v>
      </c>
      <c r="C1014">
        <v>2350</v>
      </c>
    </row>
    <row r="1015" spans="1:3" x14ac:dyDescent="0.25">
      <c r="A1015" t="s">
        <v>3152</v>
      </c>
      <c r="B1015">
        <v>0</v>
      </c>
      <c r="C1015">
        <v>3550</v>
      </c>
    </row>
    <row r="1016" spans="1:3" x14ac:dyDescent="0.25">
      <c r="A1016" t="s">
        <v>3153</v>
      </c>
      <c r="B1016">
        <v>0</v>
      </c>
      <c r="C1016">
        <v>8150</v>
      </c>
    </row>
    <row r="1017" spans="1:3" x14ac:dyDescent="0.25">
      <c r="A1017" t="s">
        <v>3154</v>
      </c>
      <c r="B1017">
        <v>0</v>
      </c>
      <c r="C1017">
        <v>6550</v>
      </c>
    </row>
    <row r="1018" spans="1:3" x14ac:dyDescent="0.25">
      <c r="A1018" t="s">
        <v>3155</v>
      </c>
      <c r="B1018">
        <v>0</v>
      </c>
      <c r="C1018">
        <v>6950</v>
      </c>
    </row>
    <row r="1019" spans="1:3" x14ac:dyDescent="0.25">
      <c r="A1019" t="s">
        <v>3156</v>
      </c>
      <c r="B1019">
        <v>0</v>
      </c>
      <c r="C1019">
        <v>5400</v>
      </c>
    </row>
    <row r="1020" spans="1:3" x14ac:dyDescent="0.25">
      <c r="A1020" t="s">
        <v>3157</v>
      </c>
      <c r="B1020">
        <v>0</v>
      </c>
      <c r="C1020">
        <v>1300</v>
      </c>
    </row>
    <row r="1021" spans="1:3" x14ac:dyDescent="0.25">
      <c r="A1021" t="s">
        <v>3158</v>
      </c>
      <c r="B1021">
        <v>0</v>
      </c>
      <c r="C1021">
        <v>23000</v>
      </c>
    </row>
    <row r="1022" spans="1:3" x14ac:dyDescent="0.25">
      <c r="A1022" t="s">
        <v>3160</v>
      </c>
      <c r="B1022">
        <v>0</v>
      </c>
      <c r="C1022">
        <v>12300</v>
      </c>
    </row>
    <row r="1023" spans="1:3" x14ac:dyDescent="0.25">
      <c r="A1023" t="s">
        <v>3161</v>
      </c>
      <c r="B1023">
        <v>0</v>
      </c>
      <c r="C1023">
        <v>8900</v>
      </c>
    </row>
    <row r="1024" spans="1:3" x14ac:dyDescent="0.25">
      <c r="A1024" t="s">
        <v>5</v>
      </c>
      <c r="B1024">
        <v>3654</v>
      </c>
      <c r="C1024">
        <v>2450</v>
      </c>
    </row>
    <row r="1025" spans="1:3" x14ac:dyDescent="0.25">
      <c r="A1025" t="s">
        <v>3162</v>
      </c>
      <c r="B1025">
        <v>1</v>
      </c>
      <c r="C1025">
        <v>1560</v>
      </c>
    </row>
    <row r="1026" spans="1:3" x14ac:dyDescent="0.25">
      <c r="A1026" t="s">
        <v>3163</v>
      </c>
      <c r="B1026">
        <v>0</v>
      </c>
      <c r="C1026">
        <v>2300</v>
      </c>
    </row>
    <row r="1027" spans="1:3" x14ac:dyDescent="0.25">
      <c r="A1027" t="s">
        <v>3164</v>
      </c>
      <c r="B1027">
        <v>0</v>
      </c>
      <c r="C1027">
        <v>540</v>
      </c>
    </row>
    <row r="1028" spans="1:3" x14ac:dyDescent="0.25">
      <c r="A1028" t="s">
        <v>3165</v>
      </c>
      <c r="B1028">
        <v>0</v>
      </c>
      <c r="C1028">
        <v>9050</v>
      </c>
    </row>
    <row r="1029" spans="1:3" x14ac:dyDescent="0.25">
      <c r="A1029" t="s">
        <v>83</v>
      </c>
      <c r="B1029">
        <v>11753</v>
      </c>
      <c r="C1029">
        <v>135</v>
      </c>
    </row>
    <row r="1030" spans="1:3" x14ac:dyDescent="0.25">
      <c r="A1030" t="s">
        <v>3166</v>
      </c>
      <c r="B1030">
        <v>0</v>
      </c>
      <c r="C1030">
        <v>150</v>
      </c>
    </row>
    <row r="1031" spans="1:3" x14ac:dyDescent="0.25">
      <c r="A1031" t="s">
        <v>76</v>
      </c>
      <c r="B1031">
        <v>1869</v>
      </c>
      <c r="C1031">
        <v>100</v>
      </c>
    </row>
    <row r="1032" spans="1:3" x14ac:dyDescent="0.25">
      <c r="A1032" t="s">
        <v>3167</v>
      </c>
      <c r="B1032">
        <v>0</v>
      </c>
      <c r="C1032">
        <v>2080</v>
      </c>
    </row>
    <row r="1033" spans="1:3" x14ac:dyDescent="0.25">
      <c r="A1033" t="s">
        <v>3168</v>
      </c>
      <c r="B1033">
        <v>0</v>
      </c>
      <c r="C1033">
        <v>2600</v>
      </c>
    </row>
    <row r="1034" spans="1:3" x14ac:dyDescent="0.25">
      <c r="A1034" t="s">
        <v>3169</v>
      </c>
      <c r="B1034">
        <v>2</v>
      </c>
      <c r="C1034">
        <v>1000</v>
      </c>
    </row>
    <row r="1035" spans="1:3" x14ac:dyDescent="0.25">
      <c r="A1035" t="s">
        <v>3170</v>
      </c>
      <c r="B1035">
        <v>0</v>
      </c>
      <c r="C1035">
        <v>580</v>
      </c>
    </row>
    <row r="1036" spans="1:3" x14ac:dyDescent="0.25">
      <c r="A1036" t="s">
        <v>3171</v>
      </c>
      <c r="B1036">
        <v>529</v>
      </c>
      <c r="C1036">
        <v>950</v>
      </c>
    </row>
    <row r="1037" spans="1:3" x14ac:dyDescent="0.25">
      <c r="A1037" t="s">
        <v>3172</v>
      </c>
      <c r="B1037">
        <v>0</v>
      </c>
      <c r="C1037">
        <v>1350</v>
      </c>
    </row>
    <row r="1038" spans="1:3" x14ac:dyDescent="0.25">
      <c r="A1038" t="s">
        <v>3173</v>
      </c>
      <c r="B1038">
        <v>0</v>
      </c>
      <c r="C1038">
        <v>30800</v>
      </c>
    </row>
    <row r="1039" spans="1:3" x14ac:dyDescent="0.25">
      <c r="A1039" t="s">
        <v>3174</v>
      </c>
      <c r="B1039">
        <v>0</v>
      </c>
      <c r="C1039">
        <v>3450</v>
      </c>
    </row>
    <row r="1040" spans="1:3" x14ac:dyDescent="0.25">
      <c r="A1040" t="s">
        <v>3175</v>
      </c>
      <c r="B1040">
        <v>0</v>
      </c>
      <c r="C1040">
        <v>1000</v>
      </c>
    </row>
    <row r="1041" spans="1:3" x14ac:dyDescent="0.25">
      <c r="A1041" t="s">
        <v>3176</v>
      </c>
      <c r="B1041">
        <v>0</v>
      </c>
      <c r="C1041">
        <v>2600</v>
      </c>
    </row>
    <row r="1042" spans="1:3" x14ac:dyDescent="0.25">
      <c r="A1042" t="s">
        <v>3177</v>
      </c>
      <c r="B1042">
        <v>0</v>
      </c>
      <c r="C1042">
        <v>1</v>
      </c>
    </row>
    <row r="1043" spans="1:3" x14ac:dyDescent="0.25">
      <c r="A1043" t="s">
        <v>3178</v>
      </c>
      <c r="B1043">
        <v>0</v>
      </c>
      <c r="C1043">
        <v>280</v>
      </c>
    </row>
    <row r="1044" spans="1:3" x14ac:dyDescent="0.25">
      <c r="A1044" t="s">
        <v>3179</v>
      </c>
      <c r="B1044">
        <v>0</v>
      </c>
      <c r="C1044">
        <v>2050</v>
      </c>
    </row>
    <row r="1045" spans="1:3" x14ac:dyDescent="0.25">
      <c r="A1045" t="s">
        <v>3180</v>
      </c>
      <c r="B1045">
        <v>0</v>
      </c>
      <c r="C1045">
        <v>1</v>
      </c>
    </row>
    <row r="1046" spans="1:3" x14ac:dyDescent="0.25">
      <c r="A1046" t="s">
        <v>3181</v>
      </c>
      <c r="B1046">
        <v>0</v>
      </c>
      <c r="C1046">
        <v>3400</v>
      </c>
    </row>
    <row r="1047" spans="1:3" x14ac:dyDescent="0.25">
      <c r="A1047" t="s">
        <v>3182</v>
      </c>
      <c r="B1047">
        <v>0</v>
      </c>
      <c r="C1047">
        <v>5900</v>
      </c>
    </row>
    <row r="1048" spans="1:3" x14ac:dyDescent="0.25">
      <c r="A1048" t="s">
        <v>3183</v>
      </c>
      <c r="B1048">
        <v>0</v>
      </c>
      <c r="C1048">
        <v>3850</v>
      </c>
    </row>
    <row r="1049" spans="1:3" x14ac:dyDescent="0.25">
      <c r="A1049" t="s">
        <v>81</v>
      </c>
      <c r="B1049">
        <v>6272.8</v>
      </c>
      <c r="C1049">
        <v>550</v>
      </c>
    </row>
    <row r="1050" spans="1:3" x14ac:dyDescent="0.25">
      <c r="A1050" t="s">
        <v>3184</v>
      </c>
      <c r="B1050">
        <v>0</v>
      </c>
      <c r="C1050">
        <v>8200</v>
      </c>
    </row>
    <row r="1051" spans="1:3" x14ac:dyDescent="0.25">
      <c r="A1051" t="s">
        <v>3185</v>
      </c>
      <c r="B1051">
        <v>0</v>
      </c>
      <c r="C1051">
        <v>6250</v>
      </c>
    </row>
    <row r="1052" spans="1:3" x14ac:dyDescent="0.25">
      <c r="A1052" t="s">
        <v>3186</v>
      </c>
      <c r="B1052">
        <v>0</v>
      </c>
      <c r="C1052">
        <v>14000</v>
      </c>
    </row>
    <row r="1053" spans="1:3" x14ac:dyDescent="0.25">
      <c r="A1053" t="s">
        <v>3187</v>
      </c>
      <c r="B1053">
        <v>0</v>
      </c>
      <c r="C1053">
        <v>3400</v>
      </c>
    </row>
    <row r="1054" spans="1:3" x14ac:dyDescent="0.25">
      <c r="A1054" t="s">
        <v>3188</v>
      </c>
      <c r="B1054">
        <v>0</v>
      </c>
      <c r="C1054">
        <v>7500</v>
      </c>
    </row>
    <row r="1055" spans="1:3" x14ac:dyDescent="0.25">
      <c r="A1055" t="s">
        <v>3189</v>
      </c>
      <c r="B1055">
        <v>0</v>
      </c>
      <c r="C1055">
        <v>5950</v>
      </c>
    </row>
    <row r="1056" spans="1:3" x14ac:dyDescent="0.25">
      <c r="A1056" t="s">
        <v>3190</v>
      </c>
      <c r="B1056">
        <v>0</v>
      </c>
      <c r="C1056">
        <v>3900</v>
      </c>
    </row>
    <row r="1057" spans="1:3" x14ac:dyDescent="0.25">
      <c r="A1057" t="s">
        <v>3191</v>
      </c>
      <c r="B1057">
        <v>0</v>
      </c>
      <c r="C1057">
        <v>3600</v>
      </c>
    </row>
    <row r="1058" spans="1:3" x14ac:dyDescent="0.25">
      <c r="A1058" t="s">
        <v>3192</v>
      </c>
      <c r="B1058">
        <v>0</v>
      </c>
      <c r="C1058">
        <v>25200</v>
      </c>
    </row>
    <row r="1059" spans="1:3" x14ac:dyDescent="0.25">
      <c r="A1059" t="s">
        <v>3193</v>
      </c>
      <c r="B1059">
        <v>13.2</v>
      </c>
      <c r="C1059">
        <v>2000</v>
      </c>
    </row>
    <row r="1060" spans="1:3" x14ac:dyDescent="0.25">
      <c r="A1060" t="s">
        <v>3194</v>
      </c>
      <c r="B1060">
        <v>0</v>
      </c>
      <c r="C1060">
        <v>550</v>
      </c>
    </row>
    <row r="1061" spans="1:3" x14ac:dyDescent="0.25">
      <c r="A1061" t="s">
        <v>3195</v>
      </c>
      <c r="B1061">
        <v>0</v>
      </c>
      <c r="C1061">
        <v>5200</v>
      </c>
    </row>
    <row r="1062" spans="1:3" x14ac:dyDescent="0.25">
      <c r="A1062" t="s">
        <v>3196</v>
      </c>
      <c r="B1062">
        <v>0</v>
      </c>
      <c r="C1062">
        <v>2600</v>
      </c>
    </row>
    <row r="1063" spans="1:3" x14ac:dyDescent="0.25">
      <c r="A1063" t="s">
        <v>3197</v>
      </c>
      <c r="B1063">
        <v>0</v>
      </c>
      <c r="C1063">
        <v>8200</v>
      </c>
    </row>
    <row r="1064" spans="1:3" x14ac:dyDescent="0.25">
      <c r="A1064" t="s">
        <v>3198</v>
      </c>
      <c r="B1064">
        <v>0</v>
      </c>
      <c r="C1064">
        <v>24000</v>
      </c>
    </row>
    <row r="1065" spans="1:3" x14ac:dyDescent="0.25">
      <c r="A1065" t="s">
        <v>3199</v>
      </c>
      <c r="B1065">
        <v>0</v>
      </c>
      <c r="C1065">
        <v>480</v>
      </c>
    </row>
    <row r="1066" spans="1:3" x14ac:dyDescent="0.25">
      <c r="A1066" t="s">
        <v>3200</v>
      </c>
      <c r="B1066">
        <v>0</v>
      </c>
      <c r="C1066">
        <v>2500</v>
      </c>
    </row>
    <row r="1067" spans="1:3" x14ac:dyDescent="0.25">
      <c r="A1067" t="s">
        <v>3201</v>
      </c>
      <c r="B1067">
        <v>0</v>
      </c>
      <c r="C1067">
        <v>1250</v>
      </c>
    </row>
    <row r="1068" spans="1:3" x14ac:dyDescent="0.25">
      <c r="A1068" t="s">
        <v>3202</v>
      </c>
      <c r="B1068">
        <v>0</v>
      </c>
      <c r="C1068">
        <v>1650</v>
      </c>
    </row>
    <row r="1069" spans="1:3" x14ac:dyDescent="0.25">
      <c r="A1069" t="s">
        <v>3203</v>
      </c>
      <c r="B1069">
        <v>0</v>
      </c>
      <c r="C1069">
        <v>20600</v>
      </c>
    </row>
    <row r="1070" spans="1:3" x14ac:dyDescent="0.25">
      <c r="A1070" t="s">
        <v>3204</v>
      </c>
      <c r="B1070">
        <v>0</v>
      </c>
      <c r="C1070">
        <v>22150</v>
      </c>
    </row>
    <row r="1071" spans="1:3" x14ac:dyDescent="0.25">
      <c r="A1071" t="s">
        <v>3205</v>
      </c>
      <c r="B1071">
        <v>0</v>
      </c>
      <c r="C1071">
        <v>1250</v>
      </c>
    </row>
    <row r="1072" spans="1:3" x14ac:dyDescent="0.25">
      <c r="A1072" t="s">
        <v>3206</v>
      </c>
      <c r="B1072">
        <v>0</v>
      </c>
      <c r="C1072">
        <v>1250</v>
      </c>
    </row>
    <row r="1073" spans="1:3" x14ac:dyDescent="0.25">
      <c r="A1073" t="s">
        <v>3207</v>
      </c>
      <c r="B1073">
        <v>0</v>
      </c>
      <c r="C1073">
        <v>1250</v>
      </c>
    </row>
    <row r="1074" spans="1:3" x14ac:dyDescent="0.25">
      <c r="A1074" t="s">
        <v>3208</v>
      </c>
      <c r="B1074">
        <v>0</v>
      </c>
      <c r="C1074">
        <v>2000</v>
      </c>
    </row>
    <row r="1075" spans="1:3" x14ac:dyDescent="0.25">
      <c r="A1075" t="s">
        <v>3209</v>
      </c>
      <c r="B1075">
        <v>0</v>
      </c>
      <c r="C1075">
        <v>11850</v>
      </c>
    </row>
    <row r="1076" spans="1:3" x14ac:dyDescent="0.25">
      <c r="A1076" t="s">
        <v>3210</v>
      </c>
      <c r="B1076">
        <v>0</v>
      </c>
      <c r="C1076">
        <v>12900</v>
      </c>
    </row>
    <row r="1077" spans="1:3" x14ac:dyDescent="0.25">
      <c r="A1077" t="s">
        <v>3211</v>
      </c>
      <c r="B1077">
        <v>0</v>
      </c>
      <c r="C1077">
        <v>6000</v>
      </c>
    </row>
    <row r="1078" spans="1:3" x14ac:dyDescent="0.25">
      <c r="A1078" t="s">
        <v>3212</v>
      </c>
      <c r="B1078">
        <v>1</v>
      </c>
      <c r="C1078">
        <v>6500</v>
      </c>
    </row>
    <row r="1079" spans="1:3" x14ac:dyDescent="0.25">
      <c r="A1079" t="s">
        <v>3213</v>
      </c>
      <c r="B1079">
        <v>5</v>
      </c>
      <c r="C1079">
        <v>17300</v>
      </c>
    </row>
    <row r="1080" spans="1:3" x14ac:dyDescent="0.25">
      <c r="A1080" t="s">
        <v>3214</v>
      </c>
      <c r="B1080">
        <v>1</v>
      </c>
      <c r="C1080">
        <v>25900</v>
      </c>
    </row>
    <row r="1081" spans="1:3" x14ac:dyDescent="0.25">
      <c r="A1081" t="s">
        <v>3215</v>
      </c>
      <c r="B1081">
        <v>0</v>
      </c>
      <c r="C1081">
        <v>3100</v>
      </c>
    </row>
    <row r="1082" spans="1:3" x14ac:dyDescent="0.25">
      <c r="A1082" t="s">
        <v>3216</v>
      </c>
      <c r="B1082">
        <v>0</v>
      </c>
      <c r="C1082">
        <v>4800</v>
      </c>
    </row>
    <row r="1083" spans="1:3" x14ac:dyDescent="0.25">
      <c r="A1083" t="s">
        <v>3217</v>
      </c>
      <c r="B1083">
        <v>0</v>
      </c>
      <c r="C1083">
        <v>3150</v>
      </c>
    </row>
    <row r="1084" spans="1:3" x14ac:dyDescent="0.25">
      <c r="A1084" t="s">
        <v>3218</v>
      </c>
      <c r="B1084">
        <v>0</v>
      </c>
      <c r="C1084">
        <v>4200</v>
      </c>
    </row>
    <row r="1085" spans="1:3" x14ac:dyDescent="0.25">
      <c r="A1085" t="s">
        <v>3219</v>
      </c>
      <c r="B1085">
        <v>0</v>
      </c>
      <c r="C1085">
        <v>22900</v>
      </c>
    </row>
    <row r="1086" spans="1:3" x14ac:dyDescent="0.25">
      <c r="A1086" t="s">
        <v>3220</v>
      </c>
      <c r="B1086">
        <v>0</v>
      </c>
      <c r="C1086">
        <v>5900</v>
      </c>
    </row>
    <row r="1087" spans="1:3" x14ac:dyDescent="0.25">
      <c r="A1087" t="s">
        <v>3221</v>
      </c>
      <c r="B1087">
        <v>0</v>
      </c>
      <c r="C1087">
        <v>6000</v>
      </c>
    </row>
    <row r="1088" spans="1:3" x14ac:dyDescent="0.25">
      <c r="A1088" t="s">
        <v>3222</v>
      </c>
      <c r="B1088">
        <v>0</v>
      </c>
      <c r="C1088">
        <v>12000</v>
      </c>
    </row>
    <row r="1089" spans="1:3" x14ac:dyDescent="0.25">
      <c r="A1089" t="s">
        <v>3223</v>
      </c>
      <c r="B1089">
        <v>0</v>
      </c>
      <c r="C1089">
        <v>2850</v>
      </c>
    </row>
    <row r="1090" spans="1:3" x14ac:dyDescent="0.25">
      <c r="A1090" t="s">
        <v>3224</v>
      </c>
      <c r="B1090">
        <v>0</v>
      </c>
      <c r="C1090">
        <v>6950</v>
      </c>
    </row>
    <row r="1091" spans="1:3" x14ac:dyDescent="0.25">
      <c r="A1091" t="s">
        <v>3225</v>
      </c>
      <c r="B1091">
        <v>13</v>
      </c>
      <c r="C1091">
        <v>1410</v>
      </c>
    </row>
    <row r="1092" spans="1:3" x14ac:dyDescent="0.25">
      <c r="A1092" t="s">
        <v>3226</v>
      </c>
      <c r="B1092">
        <v>4</v>
      </c>
      <c r="C1092">
        <v>1880</v>
      </c>
    </row>
    <row r="1093" spans="1:3" x14ac:dyDescent="0.25">
      <c r="A1093" t="s">
        <v>3227</v>
      </c>
      <c r="B1093">
        <v>0</v>
      </c>
      <c r="C1093">
        <v>530</v>
      </c>
    </row>
    <row r="1094" spans="1:3" x14ac:dyDescent="0.25">
      <c r="A1094" t="s">
        <v>3228</v>
      </c>
      <c r="B1094">
        <v>0</v>
      </c>
      <c r="C1094">
        <v>10350</v>
      </c>
    </row>
    <row r="1095" spans="1:3" x14ac:dyDescent="0.25">
      <c r="A1095" t="s">
        <v>3229</v>
      </c>
      <c r="B1095">
        <v>0</v>
      </c>
      <c r="C1095">
        <v>11700</v>
      </c>
    </row>
    <row r="1096" spans="1:3" x14ac:dyDescent="0.25">
      <c r="A1096" t="s">
        <v>3230</v>
      </c>
      <c r="B1096">
        <v>0</v>
      </c>
      <c r="C1096">
        <v>3150</v>
      </c>
    </row>
    <row r="1097" spans="1:3" x14ac:dyDescent="0.25">
      <c r="A1097" t="s">
        <v>3231</v>
      </c>
      <c r="B1097">
        <v>0</v>
      </c>
      <c r="C1097">
        <v>9750</v>
      </c>
    </row>
    <row r="1098" spans="1:3" x14ac:dyDescent="0.25">
      <c r="A1098" t="s">
        <v>3232</v>
      </c>
      <c r="B1098">
        <v>0</v>
      </c>
      <c r="C1098">
        <v>17325</v>
      </c>
    </row>
    <row r="1099" spans="1:3" x14ac:dyDescent="0.25">
      <c r="A1099" t="s">
        <v>3233</v>
      </c>
      <c r="B1099">
        <v>0</v>
      </c>
      <c r="C1099">
        <v>28875</v>
      </c>
    </row>
    <row r="1100" spans="1:3" x14ac:dyDescent="0.25">
      <c r="A1100" t="s">
        <v>3234</v>
      </c>
      <c r="B1100">
        <v>0</v>
      </c>
      <c r="C1100">
        <v>5500</v>
      </c>
    </row>
    <row r="1101" spans="1:3" x14ac:dyDescent="0.25">
      <c r="A1101" t="s">
        <v>3235</v>
      </c>
      <c r="B1101">
        <v>0</v>
      </c>
      <c r="C1101">
        <v>5350</v>
      </c>
    </row>
    <row r="1102" spans="1:3" x14ac:dyDescent="0.25">
      <c r="A1102" t="s">
        <v>3236</v>
      </c>
      <c r="B1102">
        <v>0</v>
      </c>
      <c r="C1102">
        <v>11250</v>
      </c>
    </row>
    <row r="1103" spans="1:3" x14ac:dyDescent="0.25">
      <c r="A1103" t="s">
        <v>3237</v>
      </c>
      <c r="B1103">
        <v>1</v>
      </c>
      <c r="C1103">
        <v>1950</v>
      </c>
    </row>
    <row r="1104" spans="1:3" x14ac:dyDescent="0.25">
      <c r="A1104" t="s">
        <v>3238</v>
      </c>
      <c r="B1104">
        <v>7</v>
      </c>
      <c r="C1104">
        <v>7000</v>
      </c>
    </row>
    <row r="1105" spans="1:3" x14ac:dyDescent="0.25">
      <c r="A1105" t="s">
        <v>3239</v>
      </c>
      <c r="B1105">
        <v>0</v>
      </c>
      <c r="C1105">
        <v>15050</v>
      </c>
    </row>
    <row r="1106" spans="1:3" x14ac:dyDescent="0.25">
      <c r="A1106" t="s">
        <v>3240</v>
      </c>
      <c r="B1106">
        <v>0</v>
      </c>
      <c r="C1106">
        <v>7600</v>
      </c>
    </row>
    <row r="1107" spans="1:3" x14ac:dyDescent="0.25">
      <c r="A1107" t="s">
        <v>3241</v>
      </c>
      <c r="B1107">
        <v>0</v>
      </c>
      <c r="C1107">
        <v>3250</v>
      </c>
    </row>
    <row r="1108" spans="1:3" x14ac:dyDescent="0.25">
      <c r="A1108" t="s">
        <v>3242</v>
      </c>
      <c r="B1108">
        <v>0</v>
      </c>
      <c r="C1108">
        <v>8350</v>
      </c>
    </row>
    <row r="1109" spans="1:3" x14ac:dyDescent="0.25">
      <c r="A1109" t="s">
        <v>3243</v>
      </c>
      <c r="B1109">
        <v>0</v>
      </c>
      <c r="C1109">
        <v>1100</v>
      </c>
    </row>
    <row r="1110" spans="1:3" x14ac:dyDescent="0.25">
      <c r="A1110" t="s">
        <v>3244</v>
      </c>
      <c r="B1110">
        <v>0</v>
      </c>
      <c r="C1110">
        <v>4500</v>
      </c>
    </row>
    <row r="1111" spans="1:3" x14ac:dyDescent="0.25">
      <c r="A1111" t="s">
        <v>3245</v>
      </c>
      <c r="B1111">
        <v>0</v>
      </c>
      <c r="C1111">
        <v>20450</v>
      </c>
    </row>
    <row r="1112" spans="1:3" x14ac:dyDescent="0.25">
      <c r="A1112" t="s">
        <v>3246</v>
      </c>
      <c r="B1112">
        <v>0</v>
      </c>
      <c r="C1112">
        <v>3400</v>
      </c>
    </row>
    <row r="1113" spans="1:3" x14ac:dyDescent="0.25">
      <c r="A1113" t="s">
        <v>3247</v>
      </c>
      <c r="B1113">
        <v>0</v>
      </c>
      <c r="C1113">
        <v>4450</v>
      </c>
    </row>
    <row r="1114" spans="1:3" x14ac:dyDescent="0.25">
      <c r="A1114" t="s">
        <v>3248</v>
      </c>
      <c r="B1114">
        <v>0</v>
      </c>
      <c r="C1114">
        <v>3800</v>
      </c>
    </row>
    <row r="1115" spans="1:3" x14ac:dyDescent="0.25">
      <c r="A1115" t="s">
        <v>3249</v>
      </c>
      <c r="B1115">
        <v>0</v>
      </c>
      <c r="C1115">
        <v>1250</v>
      </c>
    </row>
    <row r="1116" spans="1:3" x14ac:dyDescent="0.25">
      <c r="A1116" t="s">
        <v>3250</v>
      </c>
      <c r="B1116">
        <v>0</v>
      </c>
      <c r="C1116">
        <v>32000</v>
      </c>
    </row>
    <row r="1117" spans="1:3" x14ac:dyDescent="0.25">
      <c r="A1117" t="s">
        <v>3251</v>
      </c>
      <c r="B1117">
        <v>0</v>
      </c>
      <c r="C1117">
        <v>9400</v>
      </c>
    </row>
    <row r="1118" spans="1:3" x14ac:dyDescent="0.25">
      <c r="A1118" t="s">
        <v>3252</v>
      </c>
      <c r="B1118">
        <v>0</v>
      </c>
      <c r="C1118">
        <v>16250</v>
      </c>
    </row>
    <row r="1119" spans="1:3" x14ac:dyDescent="0.25">
      <c r="A1119" t="s">
        <v>3253</v>
      </c>
      <c r="B1119">
        <v>0</v>
      </c>
      <c r="C1119">
        <v>18850</v>
      </c>
    </row>
    <row r="1120" spans="1:3" x14ac:dyDescent="0.25">
      <c r="A1120" t="s">
        <v>3254</v>
      </c>
      <c r="B1120">
        <v>0</v>
      </c>
      <c r="C1120">
        <v>1</v>
      </c>
    </row>
    <row r="1121" spans="1:3" x14ac:dyDescent="0.25">
      <c r="A1121" t="s">
        <v>3255</v>
      </c>
      <c r="B1121">
        <v>0</v>
      </c>
      <c r="C1121">
        <v>29800</v>
      </c>
    </row>
    <row r="1122" spans="1:3" x14ac:dyDescent="0.25">
      <c r="A1122" t="s">
        <v>3256</v>
      </c>
      <c r="B1122">
        <v>0</v>
      </c>
      <c r="C1122">
        <v>4450</v>
      </c>
    </row>
    <row r="1123" spans="1:3" x14ac:dyDescent="0.25">
      <c r="A1123" t="s">
        <v>3257</v>
      </c>
      <c r="B1123">
        <v>0</v>
      </c>
      <c r="C1123">
        <v>2150</v>
      </c>
    </row>
    <row r="1124" spans="1:3" x14ac:dyDescent="0.25">
      <c r="A1124" t="s">
        <v>3258</v>
      </c>
      <c r="B1124">
        <v>0</v>
      </c>
      <c r="C1124">
        <v>1500</v>
      </c>
    </row>
    <row r="1125" spans="1:3" x14ac:dyDescent="0.25">
      <c r="A1125" t="s">
        <v>3259</v>
      </c>
      <c r="B1125">
        <v>0</v>
      </c>
      <c r="C1125">
        <v>450</v>
      </c>
    </row>
    <row r="1126" spans="1:3" x14ac:dyDescent="0.25">
      <c r="A1126" t="s">
        <v>3260</v>
      </c>
      <c r="B1126">
        <v>0</v>
      </c>
      <c r="C1126">
        <v>11800</v>
      </c>
    </row>
    <row r="1127" spans="1:3" x14ac:dyDescent="0.25">
      <c r="A1127" t="s">
        <v>3261</v>
      </c>
      <c r="B1127">
        <v>0</v>
      </c>
      <c r="C1127">
        <v>38000</v>
      </c>
    </row>
    <row r="1128" spans="1:3" x14ac:dyDescent="0.25">
      <c r="A1128" t="s">
        <v>3262</v>
      </c>
      <c r="B1128">
        <v>0</v>
      </c>
      <c r="C1128">
        <v>250</v>
      </c>
    </row>
    <row r="1129" spans="1:3" x14ac:dyDescent="0.25">
      <c r="A1129" t="s">
        <v>3263</v>
      </c>
      <c r="B1129">
        <v>30</v>
      </c>
      <c r="C1129">
        <v>3200</v>
      </c>
    </row>
    <row r="1130" spans="1:3" x14ac:dyDescent="0.25">
      <c r="A1130" t="s">
        <v>3264</v>
      </c>
      <c r="B1130">
        <v>0</v>
      </c>
      <c r="C1130">
        <v>14500</v>
      </c>
    </row>
    <row r="1131" spans="1:3" x14ac:dyDescent="0.25">
      <c r="A1131" t="s">
        <v>3265</v>
      </c>
      <c r="B1131">
        <v>0</v>
      </c>
      <c r="C1131">
        <v>12550</v>
      </c>
    </row>
    <row r="1132" spans="1:3" x14ac:dyDescent="0.25">
      <c r="A1132" t="s">
        <v>3266</v>
      </c>
      <c r="B1132">
        <v>0</v>
      </c>
      <c r="C1132">
        <v>14000</v>
      </c>
    </row>
    <row r="1133" spans="1:3" x14ac:dyDescent="0.25">
      <c r="A1133" t="s">
        <v>3267</v>
      </c>
      <c r="B1133">
        <v>0</v>
      </c>
      <c r="C1133">
        <v>4500</v>
      </c>
    </row>
    <row r="1134" spans="1:3" x14ac:dyDescent="0.25">
      <c r="A1134" t="s">
        <v>3268</v>
      </c>
      <c r="B1134">
        <v>0</v>
      </c>
      <c r="C1134">
        <v>5800</v>
      </c>
    </row>
    <row r="1135" spans="1:3" x14ac:dyDescent="0.25">
      <c r="A1135" t="s">
        <v>3269</v>
      </c>
      <c r="B1135">
        <v>0</v>
      </c>
      <c r="C1135">
        <v>24000</v>
      </c>
    </row>
    <row r="1136" spans="1:3" x14ac:dyDescent="0.25">
      <c r="A1136" t="s">
        <v>3270</v>
      </c>
      <c r="B1136">
        <v>0</v>
      </c>
      <c r="C1136">
        <v>5100</v>
      </c>
    </row>
    <row r="1137" spans="1:3" x14ac:dyDescent="0.25">
      <c r="A1137" t="s">
        <v>3271</v>
      </c>
      <c r="B1137">
        <v>0</v>
      </c>
      <c r="C1137">
        <v>1950</v>
      </c>
    </row>
    <row r="1138" spans="1:3" x14ac:dyDescent="0.25">
      <c r="A1138" t="s">
        <v>3272</v>
      </c>
      <c r="B1138">
        <v>0</v>
      </c>
      <c r="C1138">
        <v>2600</v>
      </c>
    </row>
    <row r="1139" spans="1:3" x14ac:dyDescent="0.25">
      <c r="A1139" t="s">
        <v>3273</v>
      </c>
      <c r="B1139">
        <v>0</v>
      </c>
      <c r="C1139">
        <v>3400</v>
      </c>
    </row>
    <row r="1140" spans="1:3" x14ac:dyDescent="0.25">
      <c r="A1140" t="s">
        <v>3274</v>
      </c>
      <c r="B1140">
        <v>0</v>
      </c>
      <c r="C1140">
        <v>3250</v>
      </c>
    </row>
    <row r="1141" spans="1:3" x14ac:dyDescent="0.25">
      <c r="A1141" t="s">
        <v>3275</v>
      </c>
      <c r="B1141">
        <v>0</v>
      </c>
      <c r="C1141">
        <v>2050</v>
      </c>
    </row>
    <row r="1142" spans="1:3" x14ac:dyDescent="0.25">
      <c r="A1142" t="s">
        <v>3276</v>
      </c>
      <c r="B1142">
        <v>0</v>
      </c>
      <c r="C1142">
        <v>1800</v>
      </c>
    </row>
    <row r="1143" spans="1:3" x14ac:dyDescent="0.25">
      <c r="A1143" t="s">
        <v>3277</v>
      </c>
      <c r="B1143">
        <v>0</v>
      </c>
      <c r="C1143">
        <v>14650</v>
      </c>
    </row>
    <row r="1144" spans="1:3" x14ac:dyDescent="0.25">
      <c r="A1144" t="s">
        <v>3278</v>
      </c>
      <c r="B1144">
        <v>0</v>
      </c>
      <c r="C1144">
        <v>345</v>
      </c>
    </row>
    <row r="1145" spans="1:3" x14ac:dyDescent="0.25">
      <c r="A1145" t="s">
        <v>3279</v>
      </c>
      <c r="B1145">
        <v>0</v>
      </c>
      <c r="C1145">
        <v>25000</v>
      </c>
    </row>
    <row r="1146" spans="1:3" x14ac:dyDescent="0.25">
      <c r="A1146" t="s">
        <v>3280</v>
      </c>
      <c r="B1146">
        <v>22</v>
      </c>
      <c r="C1146">
        <v>5600</v>
      </c>
    </row>
    <row r="1147" spans="1:3" x14ac:dyDescent="0.25">
      <c r="A1147" t="s">
        <v>3281</v>
      </c>
      <c r="B1147">
        <v>0</v>
      </c>
      <c r="C1147">
        <v>5000</v>
      </c>
    </row>
    <row r="1148" spans="1:3" x14ac:dyDescent="0.25">
      <c r="A1148" t="s">
        <v>3282</v>
      </c>
      <c r="B1148">
        <v>33</v>
      </c>
      <c r="C1148">
        <v>13050</v>
      </c>
    </row>
    <row r="1149" spans="1:3" x14ac:dyDescent="0.25">
      <c r="A1149" t="s">
        <v>3283</v>
      </c>
      <c r="B1149">
        <v>0</v>
      </c>
      <c r="C1149">
        <v>1700</v>
      </c>
    </row>
    <row r="1150" spans="1:3" x14ac:dyDescent="0.25">
      <c r="A1150" t="s">
        <v>3284</v>
      </c>
      <c r="B1150">
        <v>0</v>
      </c>
      <c r="C1150">
        <v>410</v>
      </c>
    </row>
    <row r="1151" spans="1:3" x14ac:dyDescent="0.25">
      <c r="A1151" t="s">
        <v>3285</v>
      </c>
      <c r="B1151">
        <v>0</v>
      </c>
      <c r="C1151">
        <v>1230</v>
      </c>
    </row>
    <row r="1152" spans="1:3" x14ac:dyDescent="0.25">
      <c r="A1152" t="s">
        <v>3286</v>
      </c>
      <c r="B1152">
        <v>0</v>
      </c>
      <c r="C1152">
        <v>1230</v>
      </c>
    </row>
    <row r="1153" spans="1:3" x14ac:dyDescent="0.25">
      <c r="A1153" t="s">
        <v>3287</v>
      </c>
      <c r="B1153">
        <v>0</v>
      </c>
      <c r="C1153">
        <v>3400</v>
      </c>
    </row>
    <row r="1154" spans="1:3" x14ac:dyDescent="0.25">
      <c r="A1154" t="s">
        <v>3288</v>
      </c>
      <c r="B1154">
        <v>0</v>
      </c>
      <c r="C1154">
        <v>8250</v>
      </c>
    </row>
    <row r="1155" spans="1:3" x14ac:dyDescent="0.25">
      <c r="A1155" t="s">
        <v>3289</v>
      </c>
      <c r="B1155">
        <v>0</v>
      </c>
      <c r="C1155">
        <v>11250</v>
      </c>
    </row>
    <row r="1156" spans="1:3" x14ac:dyDescent="0.25">
      <c r="A1156" t="s">
        <v>3290</v>
      </c>
      <c r="B1156">
        <v>0</v>
      </c>
      <c r="C1156">
        <v>4800</v>
      </c>
    </row>
    <row r="1157" spans="1:3" x14ac:dyDescent="0.25">
      <c r="A1157" t="s">
        <v>3291</v>
      </c>
      <c r="B1157">
        <v>0</v>
      </c>
      <c r="C1157">
        <v>900</v>
      </c>
    </row>
    <row r="1158" spans="1:3" x14ac:dyDescent="0.25">
      <c r="A1158" t="s">
        <v>3292</v>
      </c>
      <c r="B1158">
        <v>0</v>
      </c>
      <c r="C1158">
        <v>4750</v>
      </c>
    </row>
    <row r="1159" spans="1:3" x14ac:dyDescent="0.25">
      <c r="A1159" t="s">
        <v>3293</v>
      </c>
      <c r="B1159">
        <v>0</v>
      </c>
      <c r="C1159">
        <v>2240</v>
      </c>
    </row>
    <row r="1160" spans="1:3" x14ac:dyDescent="0.25">
      <c r="A1160" t="s">
        <v>3294</v>
      </c>
      <c r="B1160">
        <v>0</v>
      </c>
      <c r="C1160">
        <v>1680</v>
      </c>
    </row>
    <row r="1161" spans="1:3" x14ac:dyDescent="0.25">
      <c r="A1161" t="s">
        <v>3295</v>
      </c>
      <c r="B1161">
        <v>0</v>
      </c>
      <c r="C1161">
        <v>1210</v>
      </c>
    </row>
    <row r="1162" spans="1:3" x14ac:dyDescent="0.25">
      <c r="A1162" t="s">
        <v>3296</v>
      </c>
      <c r="B1162">
        <v>0</v>
      </c>
      <c r="C1162">
        <v>12500</v>
      </c>
    </row>
    <row r="1163" spans="1:3" x14ac:dyDescent="0.25">
      <c r="A1163" t="s">
        <v>3297</v>
      </c>
      <c r="B1163">
        <v>0</v>
      </c>
      <c r="C1163">
        <v>2200</v>
      </c>
    </row>
    <row r="1164" spans="1:3" x14ac:dyDescent="0.25">
      <c r="A1164" t="s">
        <v>3298</v>
      </c>
      <c r="B1164">
        <v>0</v>
      </c>
      <c r="C1164">
        <v>500</v>
      </c>
    </row>
    <row r="1165" spans="1:3" x14ac:dyDescent="0.25">
      <c r="A1165" t="s">
        <v>3299</v>
      </c>
      <c r="B1165">
        <v>0</v>
      </c>
      <c r="C1165">
        <v>600</v>
      </c>
    </row>
    <row r="1166" spans="1:3" x14ac:dyDescent="0.25">
      <c r="A1166" t="s">
        <v>3300</v>
      </c>
      <c r="B1166">
        <v>0</v>
      </c>
      <c r="C1166">
        <v>850</v>
      </c>
    </row>
    <row r="1167" spans="1:3" x14ac:dyDescent="0.25">
      <c r="A1167" t="s">
        <v>3301</v>
      </c>
      <c r="B1167">
        <v>0</v>
      </c>
      <c r="C1167">
        <v>286</v>
      </c>
    </row>
    <row r="1168" spans="1:3" x14ac:dyDescent="0.25">
      <c r="A1168" t="s">
        <v>3302</v>
      </c>
      <c r="B1168">
        <v>0</v>
      </c>
      <c r="C1168">
        <v>750</v>
      </c>
    </row>
    <row r="1169" spans="1:3" x14ac:dyDescent="0.25">
      <c r="A1169" t="s">
        <v>3303</v>
      </c>
      <c r="B1169">
        <v>0</v>
      </c>
      <c r="C1169">
        <v>250</v>
      </c>
    </row>
    <row r="1170" spans="1:3" x14ac:dyDescent="0.25">
      <c r="A1170" t="s">
        <v>3304</v>
      </c>
      <c r="B1170">
        <v>0</v>
      </c>
      <c r="C1170">
        <v>11000</v>
      </c>
    </row>
    <row r="1171" spans="1:3" x14ac:dyDescent="0.25">
      <c r="A1171" t="s">
        <v>3305</v>
      </c>
      <c r="B1171">
        <v>0</v>
      </c>
      <c r="C1171">
        <v>2450</v>
      </c>
    </row>
    <row r="1172" spans="1:3" x14ac:dyDescent="0.25">
      <c r="A1172" t="s">
        <v>3306</v>
      </c>
      <c r="B1172">
        <v>0</v>
      </c>
      <c r="C1172">
        <v>2800</v>
      </c>
    </row>
    <row r="1173" spans="1:3" x14ac:dyDescent="0.25">
      <c r="A1173" t="s">
        <v>3307</v>
      </c>
      <c r="B1173">
        <v>0</v>
      </c>
      <c r="C1173">
        <v>10000</v>
      </c>
    </row>
    <row r="1174" spans="1:3" x14ac:dyDescent="0.25">
      <c r="A1174" t="s">
        <v>3308</v>
      </c>
      <c r="B1174">
        <v>0</v>
      </c>
      <c r="C1174">
        <v>620</v>
      </c>
    </row>
    <row r="1175" spans="1:3" x14ac:dyDescent="0.25">
      <c r="A1175" t="s">
        <v>3309</v>
      </c>
      <c r="B1175">
        <v>0</v>
      </c>
      <c r="C1175">
        <v>1250</v>
      </c>
    </row>
    <row r="1176" spans="1:3" x14ac:dyDescent="0.25">
      <c r="A1176" t="s">
        <v>3310</v>
      </c>
      <c r="B1176">
        <v>0</v>
      </c>
      <c r="C1176">
        <v>1950</v>
      </c>
    </row>
    <row r="1177" spans="1:3" x14ac:dyDescent="0.25">
      <c r="A1177" t="s">
        <v>3311</v>
      </c>
      <c r="B1177">
        <v>0</v>
      </c>
      <c r="C1177">
        <v>7000</v>
      </c>
    </row>
    <row r="1178" spans="1:3" x14ac:dyDescent="0.25">
      <c r="A1178" t="s">
        <v>3312</v>
      </c>
      <c r="B1178">
        <v>0</v>
      </c>
      <c r="C1178">
        <v>3540</v>
      </c>
    </row>
    <row r="1179" spans="1:3" x14ac:dyDescent="0.25">
      <c r="A1179" t="s">
        <v>3313</v>
      </c>
      <c r="B1179">
        <v>0</v>
      </c>
      <c r="C1179">
        <v>5900</v>
      </c>
    </row>
    <row r="1180" spans="1:3" x14ac:dyDescent="0.25">
      <c r="A1180" t="s">
        <v>3314</v>
      </c>
      <c r="B1180">
        <v>0</v>
      </c>
      <c r="C1180">
        <v>13150</v>
      </c>
    </row>
    <row r="1181" spans="1:3" x14ac:dyDescent="0.25">
      <c r="A1181" t="s">
        <v>3315</v>
      </c>
      <c r="B1181">
        <v>0</v>
      </c>
      <c r="C1181">
        <v>230</v>
      </c>
    </row>
    <row r="1182" spans="1:3" x14ac:dyDescent="0.25">
      <c r="A1182" t="s">
        <v>3316</v>
      </c>
      <c r="B1182">
        <v>0</v>
      </c>
      <c r="C1182">
        <v>15700</v>
      </c>
    </row>
    <row r="1183" spans="1:3" x14ac:dyDescent="0.25">
      <c r="A1183" t="s">
        <v>3317</v>
      </c>
      <c r="B1183">
        <v>0</v>
      </c>
      <c r="C1183">
        <v>420</v>
      </c>
    </row>
    <row r="1184" spans="1:3" x14ac:dyDescent="0.25">
      <c r="A1184" t="s">
        <v>3318</v>
      </c>
      <c r="B1184">
        <v>0</v>
      </c>
      <c r="C1184">
        <v>500</v>
      </c>
    </row>
    <row r="1185" spans="1:3" x14ac:dyDescent="0.25">
      <c r="A1185" t="s">
        <v>3319</v>
      </c>
      <c r="B1185">
        <v>0</v>
      </c>
      <c r="C1185">
        <v>950</v>
      </c>
    </row>
    <row r="1186" spans="1:3" x14ac:dyDescent="0.25">
      <c r="A1186" t="s">
        <v>3320</v>
      </c>
      <c r="B1186">
        <v>0</v>
      </c>
      <c r="C1186">
        <v>1350</v>
      </c>
    </row>
    <row r="1187" spans="1:3" x14ac:dyDescent="0.25">
      <c r="A1187" t="s">
        <v>3321</v>
      </c>
      <c r="B1187">
        <v>0</v>
      </c>
      <c r="C1187">
        <v>450</v>
      </c>
    </row>
    <row r="1188" spans="1:3" x14ac:dyDescent="0.25">
      <c r="A1188" t="s">
        <v>3322</v>
      </c>
      <c r="B1188">
        <v>0</v>
      </c>
      <c r="C1188">
        <v>630</v>
      </c>
    </row>
    <row r="1189" spans="1:3" x14ac:dyDescent="0.25">
      <c r="A1189" t="s">
        <v>3323</v>
      </c>
      <c r="B1189">
        <v>2</v>
      </c>
      <c r="C1189">
        <v>23600</v>
      </c>
    </row>
    <row r="1190" spans="1:3" x14ac:dyDescent="0.25">
      <c r="A1190" t="s">
        <v>6</v>
      </c>
      <c r="B1190">
        <v>555</v>
      </c>
      <c r="C1190">
        <v>145</v>
      </c>
    </row>
    <row r="1191" spans="1:3" x14ac:dyDescent="0.25">
      <c r="A1191" t="s">
        <v>3324</v>
      </c>
      <c r="B1191">
        <v>0</v>
      </c>
      <c r="C1191">
        <v>300</v>
      </c>
    </row>
    <row r="1192" spans="1:3" x14ac:dyDescent="0.25">
      <c r="A1192" t="s">
        <v>3325</v>
      </c>
      <c r="B1192">
        <v>17</v>
      </c>
      <c r="C1192">
        <v>23000</v>
      </c>
    </row>
    <row r="1193" spans="1:3" x14ac:dyDescent="0.25">
      <c r="A1193" t="s">
        <v>3326</v>
      </c>
      <c r="B1193">
        <v>0</v>
      </c>
      <c r="C1193">
        <v>2850</v>
      </c>
    </row>
    <row r="1194" spans="1:3" x14ac:dyDescent="0.25">
      <c r="A1194" t="s">
        <v>3327</v>
      </c>
      <c r="B1194">
        <v>0</v>
      </c>
      <c r="C1194">
        <v>38000</v>
      </c>
    </row>
    <row r="1195" spans="1:3" x14ac:dyDescent="0.25">
      <c r="A1195" t="s">
        <v>3328</v>
      </c>
      <c r="B1195">
        <v>0</v>
      </c>
      <c r="C1195">
        <v>2800</v>
      </c>
    </row>
    <row r="1196" spans="1:3" x14ac:dyDescent="0.25">
      <c r="A1196" t="s">
        <v>3329</v>
      </c>
      <c r="B1196">
        <v>0</v>
      </c>
      <c r="C1196">
        <v>3390</v>
      </c>
    </row>
    <row r="1197" spans="1:3" x14ac:dyDescent="0.25">
      <c r="A1197" t="s">
        <v>3330</v>
      </c>
      <c r="B1197">
        <v>0</v>
      </c>
      <c r="C1197">
        <v>3400</v>
      </c>
    </row>
    <row r="1198" spans="1:3" x14ac:dyDescent="0.25">
      <c r="A1198" t="s">
        <v>3331</v>
      </c>
      <c r="B1198">
        <v>0</v>
      </c>
      <c r="C1198">
        <v>3450</v>
      </c>
    </row>
    <row r="1199" spans="1:3" x14ac:dyDescent="0.25">
      <c r="A1199" t="s">
        <v>3332</v>
      </c>
      <c r="B1199">
        <v>0</v>
      </c>
      <c r="C1199">
        <v>950</v>
      </c>
    </row>
    <row r="1200" spans="1:3" x14ac:dyDescent="0.25">
      <c r="A1200" t="s">
        <v>3333</v>
      </c>
      <c r="B1200">
        <v>0</v>
      </c>
      <c r="C1200">
        <v>450</v>
      </c>
    </row>
    <row r="1201" spans="1:3" x14ac:dyDescent="0.25">
      <c r="A1201" t="s">
        <v>3334</v>
      </c>
      <c r="B1201">
        <v>0</v>
      </c>
      <c r="C1201">
        <v>3600</v>
      </c>
    </row>
    <row r="1202" spans="1:3" x14ac:dyDescent="0.25">
      <c r="A1202" t="s">
        <v>3335</v>
      </c>
      <c r="B1202">
        <v>0</v>
      </c>
      <c r="C1202">
        <v>17400</v>
      </c>
    </row>
    <row r="1203" spans="1:3" x14ac:dyDescent="0.25">
      <c r="A1203" t="s">
        <v>3336</v>
      </c>
      <c r="B1203">
        <v>0</v>
      </c>
      <c r="C1203">
        <v>1500</v>
      </c>
    </row>
    <row r="1204" spans="1:3" x14ac:dyDescent="0.25">
      <c r="A1204" t="s">
        <v>3337</v>
      </c>
      <c r="B1204">
        <v>0</v>
      </c>
      <c r="C1204">
        <v>2950</v>
      </c>
    </row>
    <row r="1205" spans="1:3" x14ac:dyDescent="0.25">
      <c r="A1205" t="s">
        <v>3338</v>
      </c>
      <c r="B1205">
        <v>7</v>
      </c>
      <c r="C1205">
        <v>2350</v>
      </c>
    </row>
    <row r="1206" spans="1:3" x14ac:dyDescent="0.25">
      <c r="A1206" t="s">
        <v>3339</v>
      </c>
      <c r="B1206">
        <v>0</v>
      </c>
      <c r="C1206">
        <v>2400</v>
      </c>
    </row>
    <row r="1207" spans="1:3" x14ac:dyDescent="0.25">
      <c r="A1207" t="s">
        <v>3340</v>
      </c>
      <c r="B1207">
        <v>0</v>
      </c>
      <c r="C1207">
        <v>2560</v>
      </c>
    </row>
    <row r="1208" spans="1:3" x14ac:dyDescent="0.25">
      <c r="A1208" t="s">
        <v>3341</v>
      </c>
      <c r="B1208">
        <v>0</v>
      </c>
      <c r="C1208">
        <v>3360</v>
      </c>
    </row>
    <row r="1209" spans="1:3" x14ac:dyDescent="0.25">
      <c r="A1209" t="s">
        <v>3342</v>
      </c>
      <c r="B1209">
        <v>0</v>
      </c>
      <c r="C1209">
        <v>300</v>
      </c>
    </row>
    <row r="1210" spans="1:3" x14ac:dyDescent="0.25">
      <c r="A1210" t="s">
        <v>3343</v>
      </c>
      <c r="B1210">
        <v>0</v>
      </c>
      <c r="C1210">
        <v>4800</v>
      </c>
    </row>
    <row r="1211" spans="1:3" x14ac:dyDescent="0.25">
      <c r="A1211" t="s">
        <v>3344</v>
      </c>
      <c r="B1211">
        <v>0</v>
      </c>
      <c r="C1211">
        <v>3700</v>
      </c>
    </row>
    <row r="1212" spans="1:3" x14ac:dyDescent="0.25">
      <c r="A1212" t="s">
        <v>3345</v>
      </c>
      <c r="B1212">
        <v>0</v>
      </c>
      <c r="C1212">
        <v>27500</v>
      </c>
    </row>
    <row r="1213" spans="1:3" x14ac:dyDescent="0.25">
      <c r="A1213" t="s">
        <v>3346</v>
      </c>
      <c r="B1213">
        <v>0</v>
      </c>
      <c r="C1213">
        <v>34000</v>
      </c>
    </row>
    <row r="1214" spans="1:3" x14ac:dyDescent="0.25">
      <c r="A1214" t="s">
        <v>3347</v>
      </c>
      <c r="B1214">
        <v>0</v>
      </c>
      <c r="C1214">
        <v>27000</v>
      </c>
    </row>
    <row r="1215" spans="1:3" x14ac:dyDescent="0.25">
      <c r="A1215" t="s">
        <v>3348</v>
      </c>
      <c r="B1215">
        <v>0</v>
      </c>
      <c r="C1215">
        <v>1920</v>
      </c>
    </row>
    <row r="1216" spans="1:3" x14ac:dyDescent="0.25">
      <c r="A1216" t="s">
        <v>3349</v>
      </c>
      <c r="B1216">
        <v>0</v>
      </c>
      <c r="C1216">
        <v>5880</v>
      </c>
    </row>
    <row r="1217" spans="1:3" x14ac:dyDescent="0.25">
      <c r="A1217" t="s">
        <v>3350</v>
      </c>
      <c r="B1217">
        <v>0</v>
      </c>
      <c r="C1217">
        <v>1450</v>
      </c>
    </row>
    <row r="1218" spans="1:3" x14ac:dyDescent="0.25">
      <c r="A1218" t="s">
        <v>3351</v>
      </c>
      <c r="B1218">
        <v>0</v>
      </c>
      <c r="C1218">
        <v>300</v>
      </c>
    </row>
    <row r="1219" spans="1:3" x14ac:dyDescent="0.25">
      <c r="A1219" t="s">
        <v>3352</v>
      </c>
      <c r="B1219">
        <v>0</v>
      </c>
      <c r="C1219">
        <v>350</v>
      </c>
    </row>
    <row r="1220" spans="1:3" x14ac:dyDescent="0.25">
      <c r="A1220" t="s">
        <v>3353</v>
      </c>
      <c r="B1220">
        <v>3</v>
      </c>
      <c r="C1220">
        <v>1150</v>
      </c>
    </row>
    <row r="1221" spans="1:3" x14ac:dyDescent="0.25">
      <c r="A1221" t="s">
        <v>3354</v>
      </c>
      <c r="B1221">
        <v>0</v>
      </c>
      <c r="C1221">
        <v>1000</v>
      </c>
    </row>
    <row r="1222" spans="1:3" x14ac:dyDescent="0.25">
      <c r="A1222" t="s">
        <v>3355</v>
      </c>
      <c r="B1222">
        <v>0</v>
      </c>
      <c r="C1222">
        <v>6900</v>
      </c>
    </row>
    <row r="1223" spans="1:3" x14ac:dyDescent="0.25">
      <c r="A1223" t="s">
        <v>3356</v>
      </c>
      <c r="B1223">
        <v>0</v>
      </c>
      <c r="C1223">
        <v>22000</v>
      </c>
    </row>
    <row r="1224" spans="1:3" x14ac:dyDescent="0.25">
      <c r="A1224" t="s">
        <v>3357</v>
      </c>
      <c r="B1224">
        <v>0</v>
      </c>
      <c r="C1224">
        <v>2100</v>
      </c>
    </row>
    <row r="1225" spans="1:3" x14ac:dyDescent="0.25">
      <c r="A1225" t="s">
        <v>3358</v>
      </c>
      <c r="B1225">
        <v>0</v>
      </c>
      <c r="C1225">
        <v>1100</v>
      </c>
    </row>
    <row r="1226" spans="1:3" x14ac:dyDescent="0.25">
      <c r="A1226" t="s">
        <v>8</v>
      </c>
      <c r="B1226">
        <v>6</v>
      </c>
      <c r="C1226">
        <v>900</v>
      </c>
    </row>
    <row r="1227" spans="1:3" x14ac:dyDescent="0.25">
      <c r="A1227" t="s">
        <v>3359</v>
      </c>
      <c r="B1227">
        <v>0</v>
      </c>
      <c r="C1227">
        <v>1200</v>
      </c>
    </row>
    <row r="1228" spans="1:3" x14ac:dyDescent="0.25">
      <c r="A1228" t="s">
        <v>3360</v>
      </c>
      <c r="B1228">
        <v>0</v>
      </c>
      <c r="C1228">
        <v>1400</v>
      </c>
    </row>
    <row r="1229" spans="1:3" x14ac:dyDescent="0.25">
      <c r="A1229" t="s">
        <v>3361</v>
      </c>
      <c r="B1229">
        <v>0</v>
      </c>
      <c r="C1229">
        <v>940</v>
      </c>
    </row>
    <row r="1230" spans="1:3" x14ac:dyDescent="0.25">
      <c r="A1230" t="s">
        <v>3362</v>
      </c>
      <c r="B1230">
        <v>0</v>
      </c>
      <c r="C1230">
        <v>6850</v>
      </c>
    </row>
    <row r="1231" spans="1:3" x14ac:dyDescent="0.25">
      <c r="A1231" t="s">
        <v>3363</v>
      </c>
      <c r="B1231">
        <v>0</v>
      </c>
      <c r="C1231">
        <v>300</v>
      </c>
    </row>
    <row r="1232" spans="1:3" x14ac:dyDescent="0.25">
      <c r="A1232" t="s">
        <v>3364</v>
      </c>
      <c r="B1232">
        <v>0</v>
      </c>
      <c r="C1232">
        <v>300</v>
      </c>
    </row>
    <row r="1233" spans="1:3" x14ac:dyDescent="0.25">
      <c r="A1233" t="s">
        <v>3365</v>
      </c>
      <c r="B1233">
        <v>0</v>
      </c>
      <c r="C1233">
        <v>35000</v>
      </c>
    </row>
    <row r="1234" spans="1:3" x14ac:dyDescent="0.25">
      <c r="A1234" t="s">
        <v>3366</v>
      </c>
      <c r="B1234">
        <v>0</v>
      </c>
      <c r="C1234">
        <v>300</v>
      </c>
    </row>
    <row r="1235" spans="1:3" x14ac:dyDescent="0.25">
      <c r="A1235" t="s">
        <v>3367</v>
      </c>
      <c r="B1235">
        <v>0</v>
      </c>
      <c r="C1235">
        <v>5750</v>
      </c>
    </row>
    <row r="1236" spans="1:3" x14ac:dyDescent="0.25">
      <c r="A1236" t="s">
        <v>3368</v>
      </c>
      <c r="B1236">
        <v>0</v>
      </c>
      <c r="C1236">
        <v>1350</v>
      </c>
    </row>
    <row r="1237" spans="1:3" x14ac:dyDescent="0.25">
      <c r="A1237" t="s">
        <v>3369</v>
      </c>
      <c r="B1237">
        <v>0</v>
      </c>
      <c r="C1237">
        <v>2950</v>
      </c>
    </row>
    <row r="1238" spans="1:3" x14ac:dyDescent="0.25">
      <c r="A1238" t="s">
        <v>3370</v>
      </c>
      <c r="B1238">
        <v>0</v>
      </c>
      <c r="C1238">
        <v>800</v>
      </c>
    </row>
    <row r="1239" spans="1:3" x14ac:dyDescent="0.25">
      <c r="A1239" t="s">
        <v>3371</v>
      </c>
      <c r="B1239">
        <v>502</v>
      </c>
      <c r="C1239">
        <v>10550</v>
      </c>
    </row>
    <row r="1240" spans="1:3" x14ac:dyDescent="0.25">
      <c r="A1240" t="s">
        <v>3372</v>
      </c>
      <c r="B1240">
        <v>0</v>
      </c>
      <c r="C1240">
        <v>2100</v>
      </c>
    </row>
    <row r="1241" spans="1:3" x14ac:dyDescent="0.25">
      <c r="A1241" t="s">
        <v>3373</v>
      </c>
      <c r="B1241">
        <v>0</v>
      </c>
      <c r="C1241">
        <v>1700</v>
      </c>
    </row>
    <row r="1242" spans="1:3" x14ac:dyDescent="0.25">
      <c r="A1242" t="s">
        <v>3374</v>
      </c>
      <c r="B1242">
        <v>0</v>
      </c>
      <c r="C1242">
        <v>3150</v>
      </c>
    </row>
    <row r="1243" spans="1:3" x14ac:dyDescent="0.25">
      <c r="A1243" t="s">
        <v>3375</v>
      </c>
      <c r="B1243">
        <v>0</v>
      </c>
      <c r="C1243">
        <v>4200</v>
      </c>
    </row>
    <row r="1244" spans="1:3" x14ac:dyDescent="0.25">
      <c r="A1244" t="s">
        <v>3376</v>
      </c>
      <c r="B1244">
        <v>0</v>
      </c>
      <c r="C1244">
        <v>10400</v>
      </c>
    </row>
    <row r="1245" spans="1:3" x14ac:dyDescent="0.25">
      <c r="A1245" t="s">
        <v>3377</v>
      </c>
      <c r="B1245">
        <v>9</v>
      </c>
      <c r="C1245">
        <v>700</v>
      </c>
    </row>
    <row r="1246" spans="1:3" x14ac:dyDescent="0.25">
      <c r="A1246" t="s">
        <v>3378</v>
      </c>
      <c r="B1246">
        <v>0</v>
      </c>
      <c r="C1246">
        <v>12000</v>
      </c>
    </row>
    <row r="1247" spans="1:3" x14ac:dyDescent="0.25">
      <c r="A1247" t="s">
        <v>3379</v>
      </c>
      <c r="B1247">
        <v>0</v>
      </c>
      <c r="C1247">
        <v>4620</v>
      </c>
    </row>
    <row r="1248" spans="1:3" x14ac:dyDescent="0.25">
      <c r="A1248" t="s">
        <v>3380</v>
      </c>
      <c r="B1248">
        <v>0</v>
      </c>
      <c r="C1248">
        <v>22500</v>
      </c>
    </row>
    <row r="1249" spans="1:3" x14ac:dyDescent="0.25">
      <c r="A1249" t="s">
        <v>3381</v>
      </c>
      <c r="B1249">
        <v>0</v>
      </c>
      <c r="C1249">
        <v>4750</v>
      </c>
    </row>
    <row r="1250" spans="1:3" x14ac:dyDescent="0.25">
      <c r="A1250" t="s">
        <v>3382</v>
      </c>
      <c r="B1250">
        <v>0</v>
      </c>
      <c r="C1250">
        <v>2100</v>
      </c>
    </row>
    <row r="1251" spans="1:3" x14ac:dyDescent="0.25">
      <c r="A1251" t="s">
        <v>3383</v>
      </c>
      <c r="B1251">
        <v>0</v>
      </c>
      <c r="C1251">
        <v>2100</v>
      </c>
    </row>
    <row r="1252" spans="1:3" x14ac:dyDescent="0.25">
      <c r="A1252" t="s">
        <v>3384</v>
      </c>
      <c r="B1252">
        <v>0</v>
      </c>
      <c r="C1252">
        <v>2100</v>
      </c>
    </row>
    <row r="1253" spans="1:3" x14ac:dyDescent="0.25">
      <c r="A1253" t="s">
        <v>3385</v>
      </c>
      <c r="B1253">
        <v>0</v>
      </c>
      <c r="C1253">
        <v>2100</v>
      </c>
    </row>
    <row r="1254" spans="1:3" x14ac:dyDescent="0.25">
      <c r="A1254" t="s">
        <v>3386</v>
      </c>
      <c r="B1254">
        <v>0</v>
      </c>
      <c r="C1254">
        <v>2100</v>
      </c>
    </row>
    <row r="1255" spans="1:3" x14ac:dyDescent="0.25">
      <c r="A1255" t="s">
        <v>3387</v>
      </c>
      <c r="B1255">
        <v>0</v>
      </c>
      <c r="C1255">
        <v>8200</v>
      </c>
    </row>
    <row r="1256" spans="1:3" x14ac:dyDescent="0.25">
      <c r="A1256" t="s">
        <v>3388</v>
      </c>
      <c r="B1256">
        <v>0</v>
      </c>
      <c r="C1256">
        <v>27000</v>
      </c>
    </row>
    <row r="1257" spans="1:3" x14ac:dyDescent="0.25">
      <c r="A1257" t="s">
        <v>3389</v>
      </c>
      <c r="B1257">
        <v>0</v>
      </c>
      <c r="C1257">
        <v>6100</v>
      </c>
    </row>
    <row r="1258" spans="1:3" x14ac:dyDescent="0.25">
      <c r="A1258" t="s">
        <v>3390</v>
      </c>
      <c r="B1258">
        <v>0</v>
      </c>
      <c r="C1258">
        <v>3250</v>
      </c>
    </row>
    <row r="1259" spans="1:3" x14ac:dyDescent="0.25">
      <c r="A1259" t="s">
        <v>3391</v>
      </c>
      <c r="B1259">
        <v>0</v>
      </c>
      <c r="C1259">
        <v>4500</v>
      </c>
    </row>
    <row r="1260" spans="1:3" x14ac:dyDescent="0.25">
      <c r="A1260" t="s">
        <v>3392</v>
      </c>
      <c r="B1260">
        <v>0</v>
      </c>
      <c r="C1260">
        <v>4750</v>
      </c>
    </row>
    <row r="1261" spans="1:3" x14ac:dyDescent="0.25">
      <c r="A1261" t="s">
        <v>3393</v>
      </c>
      <c r="B1261">
        <v>0</v>
      </c>
      <c r="C1261">
        <v>5400</v>
      </c>
    </row>
    <row r="1262" spans="1:3" x14ac:dyDescent="0.25">
      <c r="A1262" t="s">
        <v>3394</v>
      </c>
      <c r="B1262">
        <v>0</v>
      </c>
      <c r="C1262">
        <v>4600</v>
      </c>
    </row>
    <row r="1263" spans="1:3" x14ac:dyDescent="0.25">
      <c r="A1263" t="s">
        <v>3395</v>
      </c>
      <c r="B1263">
        <v>0</v>
      </c>
      <c r="C1263">
        <v>5650</v>
      </c>
    </row>
    <row r="1264" spans="1:3" x14ac:dyDescent="0.25">
      <c r="A1264" t="s">
        <v>3396</v>
      </c>
      <c r="B1264">
        <v>0</v>
      </c>
      <c r="C1264">
        <v>1850</v>
      </c>
    </row>
    <row r="1265" spans="1:3" x14ac:dyDescent="0.25">
      <c r="A1265" t="s">
        <v>3397</v>
      </c>
      <c r="B1265">
        <v>0</v>
      </c>
      <c r="C1265">
        <v>3700</v>
      </c>
    </row>
    <row r="1266" spans="1:3" x14ac:dyDescent="0.25">
      <c r="A1266" t="s">
        <v>3398</v>
      </c>
      <c r="B1266">
        <v>0</v>
      </c>
      <c r="C1266">
        <v>350</v>
      </c>
    </row>
    <row r="1267" spans="1:3" x14ac:dyDescent="0.25">
      <c r="A1267" t="s">
        <v>3399</v>
      </c>
      <c r="B1267">
        <v>0</v>
      </c>
      <c r="C1267">
        <v>600</v>
      </c>
    </row>
    <row r="1268" spans="1:3" x14ac:dyDescent="0.25">
      <c r="A1268" t="s">
        <v>3400</v>
      </c>
      <c r="B1268">
        <v>0</v>
      </c>
      <c r="C1268">
        <v>900</v>
      </c>
    </row>
    <row r="1269" spans="1:3" x14ac:dyDescent="0.25">
      <c r="A1269" t="s">
        <v>3401</v>
      </c>
      <c r="B1269">
        <v>0</v>
      </c>
      <c r="C1269">
        <v>4400</v>
      </c>
    </row>
    <row r="1270" spans="1:3" x14ac:dyDescent="0.25">
      <c r="A1270" t="s">
        <v>3402</v>
      </c>
      <c r="B1270">
        <v>0</v>
      </c>
      <c r="C1270">
        <v>950</v>
      </c>
    </row>
    <row r="1271" spans="1:3" x14ac:dyDescent="0.25">
      <c r="A1271" t="s">
        <v>3403</v>
      </c>
      <c r="B1271">
        <v>0</v>
      </c>
      <c r="C1271">
        <v>1500</v>
      </c>
    </row>
    <row r="1272" spans="1:3" x14ac:dyDescent="0.25">
      <c r="A1272" t="s">
        <v>3404</v>
      </c>
      <c r="B1272">
        <v>0</v>
      </c>
      <c r="C1272">
        <v>4800</v>
      </c>
    </row>
    <row r="1273" spans="1:3" x14ac:dyDescent="0.25">
      <c r="A1273" t="s">
        <v>3405</v>
      </c>
      <c r="B1273">
        <v>0</v>
      </c>
      <c r="C1273">
        <v>650</v>
      </c>
    </row>
    <row r="1274" spans="1:3" x14ac:dyDescent="0.25">
      <c r="A1274" t="s">
        <v>3406</v>
      </c>
      <c r="B1274">
        <v>0</v>
      </c>
      <c r="C1274">
        <v>2500</v>
      </c>
    </row>
    <row r="1275" spans="1:3" x14ac:dyDescent="0.25">
      <c r="A1275" t="s">
        <v>3407</v>
      </c>
      <c r="B1275">
        <v>0</v>
      </c>
      <c r="C1275">
        <v>2100</v>
      </c>
    </row>
    <row r="1276" spans="1:3" x14ac:dyDescent="0.25">
      <c r="A1276" t="s">
        <v>3408</v>
      </c>
      <c r="B1276">
        <v>0</v>
      </c>
      <c r="C1276">
        <v>1100</v>
      </c>
    </row>
    <row r="1277" spans="1:3" x14ac:dyDescent="0.25">
      <c r="A1277" t="s">
        <v>3409</v>
      </c>
      <c r="B1277">
        <v>0</v>
      </c>
      <c r="C1277">
        <v>2100</v>
      </c>
    </row>
    <row r="1278" spans="1:3" x14ac:dyDescent="0.25">
      <c r="A1278" t="s">
        <v>3410</v>
      </c>
      <c r="B1278">
        <v>0</v>
      </c>
      <c r="C1278">
        <v>2100</v>
      </c>
    </row>
    <row r="1279" spans="1:3" x14ac:dyDescent="0.25">
      <c r="A1279" t="s">
        <v>3411</v>
      </c>
      <c r="B1279">
        <v>0</v>
      </c>
      <c r="C1279">
        <v>4300</v>
      </c>
    </row>
    <row r="1280" spans="1:3" x14ac:dyDescent="0.25">
      <c r="A1280" t="s">
        <v>3412</v>
      </c>
      <c r="B1280">
        <v>0</v>
      </c>
      <c r="C1280">
        <v>5300</v>
      </c>
    </row>
    <row r="1281" spans="1:3" x14ac:dyDescent="0.25">
      <c r="A1281" t="s">
        <v>3413</v>
      </c>
      <c r="B1281">
        <v>0</v>
      </c>
      <c r="C1281">
        <v>1450</v>
      </c>
    </row>
    <row r="1282" spans="1:3" x14ac:dyDescent="0.25">
      <c r="A1282" t="s">
        <v>3414</v>
      </c>
      <c r="B1282">
        <v>0</v>
      </c>
      <c r="C1282">
        <v>3000</v>
      </c>
    </row>
    <row r="1283" spans="1:3" x14ac:dyDescent="0.25">
      <c r="A1283" t="s">
        <v>3415</v>
      </c>
      <c r="B1283">
        <v>0</v>
      </c>
      <c r="C1283">
        <v>4000</v>
      </c>
    </row>
    <row r="1284" spans="1:3" x14ac:dyDescent="0.25">
      <c r="A1284" t="s">
        <v>3416</v>
      </c>
      <c r="B1284">
        <v>0</v>
      </c>
      <c r="C1284">
        <v>5000</v>
      </c>
    </row>
    <row r="1285" spans="1:3" x14ac:dyDescent="0.25">
      <c r="A1285" t="s">
        <v>3417</v>
      </c>
      <c r="B1285">
        <v>0</v>
      </c>
      <c r="C1285">
        <v>0</v>
      </c>
    </row>
    <row r="1286" spans="1:3" x14ac:dyDescent="0.25">
      <c r="A1286" t="s">
        <v>3418</v>
      </c>
      <c r="B1286">
        <v>0</v>
      </c>
      <c r="C1286">
        <v>580</v>
      </c>
    </row>
    <row r="1287" spans="1:3" x14ac:dyDescent="0.25">
      <c r="A1287" t="s">
        <v>3419</v>
      </c>
      <c r="B1287">
        <v>0</v>
      </c>
      <c r="C1287">
        <v>1500</v>
      </c>
    </row>
    <row r="1288" spans="1:3" x14ac:dyDescent="0.25">
      <c r="A1288" t="s">
        <v>3420</v>
      </c>
      <c r="B1288">
        <v>0</v>
      </c>
      <c r="C1288">
        <v>325</v>
      </c>
    </row>
    <row r="1289" spans="1:3" x14ac:dyDescent="0.25">
      <c r="A1289" t="s">
        <v>3421</v>
      </c>
      <c r="B1289">
        <v>0</v>
      </c>
      <c r="C1289">
        <v>8800</v>
      </c>
    </row>
    <row r="1290" spans="1:3" x14ac:dyDescent="0.25">
      <c r="A1290" t="s">
        <v>3422</v>
      </c>
      <c r="B1290">
        <v>0</v>
      </c>
      <c r="C1290">
        <v>2600</v>
      </c>
    </row>
    <row r="1291" spans="1:3" x14ac:dyDescent="0.25">
      <c r="A1291" t="s">
        <v>3423</v>
      </c>
      <c r="B1291">
        <v>0</v>
      </c>
      <c r="C1291">
        <v>300</v>
      </c>
    </row>
    <row r="1292" spans="1:3" x14ac:dyDescent="0.25">
      <c r="A1292" t="s">
        <v>3424</v>
      </c>
      <c r="B1292">
        <v>0</v>
      </c>
      <c r="C1292">
        <v>1100</v>
      </c>
    </row>
    <row r="1293" spans="1:3" x14ac:dyDescent="0.25">
      <c r="A1293" t="s">
        <v>3425</v>
      </c>
      <c r="B1293">
        <v>0</v>
      </c>
      <c r="C1293">
        <v>700</v>
      </c>
    </row>
    <row r="1294" spans="1:3" x14ac:dyDescent="0.25">
      <c r="A1294" t="s">
        <v>3426</v>
      </c>
      <c r="B1294">
        <v>1</v>
      </c>
      <c r="C1294">
        <v>240</v>
      </c>
    </row>
    <row r="1295" spans="1:3" x14ac:dyDescent="0.25">
      <c r="A1295" t="s">
        <v>3427</v>
      </c>
      <c r="B1295">
        <v>0</v>
      </c>
      <c r="C1295">
        <v>470</v>
      </c>
    </row>
    <row r="1296" spans="1:3" x14ac:dyDescent="0.25">
      <c r="A1296" t="s">
        <v>3428</v>
      </c>
      <c r="B1296">
        <v>0</v>
      </c>
      <c r="C1296">
        <v>400</v>
      </c>
    </row>
    <row r="1297" spans="1:3" x14ac:dyDescent="0.25">
      <c r="A1297" t="s">
        <v>3429</v>
      </c>
      <c r="B1297">
        <v>0</v>
      </c>
      <c r="C1297">
        <v>240</v>
      </c>
    </row>
    <row r="1298" spans="1:3" x14ac:dyDescent="0.25">
      <c r="A1298" t="s">
        <v>3430</v>
      </c>
      <c r="B1298">
        <v>0</v>
      </c>
      <c r="C1298">
        <v>480</v>
      </c>
    </row>
    <row r="1299" spans="1:3" x14ac:dyDescent="0.25">
      <c r="A1299" t="s">
        <v>80</v>
      </c>
      <c r="B1299">
        <v>3203.6</v>
      </c>
      <c r="C1299">
        <v>800</v>
      </c>
    </row>
    <row r="1300" spans="1:3" x14ac:dyDescent="0.25">
      <c r="A1300" t="s">
        <v>3431</v>
      </c>
      <c r="B1300">
        <v>1</v>
      </c>
      <c r="C1300">
        <v>11800</v>
      </c>
    </row>
    <row r="1301" spans="1:3" x14ac:dyDescent="0.25">
      <c r="A1301" t="s">
        <v>3432</v>
      </c>
      <c r="B1301">
        <v>0</v>
      </c>
      <c r="C1301">
        <v>4050</v>
      </c>
    </row>
    <row r="1302" spans="1:3" x14ac:dyDescent="0.25">
      <c r="A1302" t="s">
        <v>3433</v>
      </c>
      <c r="B1302">
        <v>0</v>
      </c>
      <c r="C1302">
        <v>8000</v>
      </c>
    </row>
    <row r="1303" spans="1:3" x14ac:dyDescent="0.25">
      <c r="A1303" t="s">
        <v>3434</v>
      </c>
      <c r="B1303">
        <v>0</v>
      </c>
      <c r="C1303">
        <v>1000</v>
      </c>
    </row>
    <row r="1304" spans="1:3" x14ac:dyDescent="0.25">
      <c r="A1304" t="s">
        <v>3435</v>
      </c>
      <c r="B1304">
        <v>0</v>
      </c>
      <c r="C1304">
        <v>1</v>
      </c>
    </row>
    <row r="1305" spans="1:3" x14ac:dyDescent="0.25">
      <c r="A1305" t="s">
        <v>3436</v>
      </c>
      <c r="B1305">
        <v>0</v>
      </c>
      <c r="C1305">
        <v>1150</v>
      </c>
    </row>
    <row r="1306" spans="1:3" x14ac:dyDescent="0.25">
      <c r="A1306" t="s">
        <v>3437</v>
      </c>
      <c r="B1306">
        <v>0</v>
      </c>
      <c r="C1306">
        <v>850</v>
      </c>
    </row>
    <row r="1307" spans="1:3" x14ac:dyDescent="0.25">
      <c r="A1307" t="s">
        <v>3438</v>
      </c>
      <c r="B1307">
        <v>1</v>
      </c>
      <c r="C1307">
        <v>110</v>
      </c>
    </row>
    <row r="1308" spans="1:3" x14ac:dyDescent="0.25">
      <c r="A1308" t="s">
        <v>3439</v>
      </c>
      <c r="B1308">
        <v>0</v>
      </c>
      <c r="C1308">
        <v>250</v>
      </c>
    </row>
    <row r="1309" spans="1:3" x14ac:dyDescent="0.25">
      <c r="A1309" t="s">
        <v>3440</v>
      </c>
      <c r="B1309">
        <v>0</v>
      </c>
      <c r="C1309">
        <v>140</v>
      </c>
    </row>
    <row r="1310" spans="1:3" x14ac:dyDescent="0.25">
      <c r="A1310" t="s">
        <v>3441</v>
      </c>
      <c r="B1310">
        <v>1</v>
      </c>
      <c r="C1310">
        <v>140</v>
      </c>
    </row>
    <row r="1311" spans="1:3" x14ac:dyDescent="0.25">
      <c r="A1311" t="s">
        <v>3442</v>
      </c>
      <c r="B1311">
        <v>0</v>
      </c>
      <c r="C1311">
        <v>450</v>
      </c>
    </row>
    <row r="1312" spans="1:3" x14ac:dyDescent="0.25">
      <c r="A1312" t="s">
        <v>3443</v>
      </c>
      <c r="B1312">
        <v>0</v>
      </c>
      <c r="C1312">
        <v>2750</v>
      </c>
    </row>
    <row r="1313" spans="1:3" x14ac:dyDescent="0.25">
      <c r="A1313" t="s">
        <v>3444</v>
      </c>
      <c r="B1313">
        <v>0</v>
      </c>
      <c r="C1313">
        <v>1150</v>
      </c>
    </row>
    <row r="1314" spans="1:3" x14ac:dyDescent="0.25">
      <c r="A1314" t="s">
        <v>3445</v>
      </c>
      <c r="B1314">
        <v>0</v>
      </c>
      <c r="C1314">
        <v>900</v>
      </c>
    </row>
    <row r="1315" spans="1:3" x14ac:dyDescent="0.25">
      <c r="A1315" t="s">
        <v>3446</v>
      </c>
      <c r="B1315">
        <v>0</v>
      </c>
      <c r="C1315">
        <v>750</v>
      </c>
    </row>
    <row r="1316" spans="1:3" x14ac:dyDescent="0.25">
      <c r="A1316" t="s">
        <v>3447</v>
      </c>
      <c r="B1316">
        <v>0</v>
      </c>
      <c r="C1316">
        <v>1150</v>
      </c>
    </row>
    <row r="1317" spans="1:3" x14ac:dyDescent="0.25">
      <c r="A1317" t="s">
        <v>3448</v>
      </c>
      <c r="B1317">
        <v>0</v>
      </c>
      <c r="C1317">
        <v>850</v>
      </c>
    </row>
    <row r="1318" spans="1:3" x14ac:dyDescent="0.25">
      <c r="A1318" t="s">
        <v>3449</v>
      </c>
      <c r="B1318">
        <v>0</v>
      </c>
      <c r="C1318">
        <v>1450</v>
      </c>
    </row>
    <row r="1319" spans="1:3" x14ac:dyDescent="0.25">
      <c r="A1319" t="s">
        <v>3450</v>
      </c>
      <c r="B1319">
        <v>0</v>
      </c>
      <c r="C1319">
        <v>2150</v>
      </c>
    </row>
    <row r="1320" spans="1:3" x14ac:dyDescent="0.25">
      <c r="A1320" t="s">
        <v>3451</v>
      </c>
      <c r="B1320">
        <v>0</v>
      </c>
      <c r="C1320">
        <v>410</v>
      </c>
    </row>
    <row r="1321" spans="1:3" x14ac:dyDescent="0.25">
      <c r="A1321" t="s">
        <v>3452</v>
      </c>
      <c r="B1321">
        <v>0</v>
      </c>
      <c r="C1321">
        <v>1</v>
      </c>
    </row>
    <row r="1322" spans="1:3" x14ac:dyDescent="0.25">
      <c r="A1322" t="s">
        <v>3453</v>
      </c>
      <c r="B1322">
        <v>0</v>
      </c>
      <c r="C1322">
        <v>1</v>
      </c>
    </row>
    <row r="1323" spans="1:3" x14ac:dyDescent="0.25">
      <c r="A1323" t="s">
        <v>3454</v>
      </c>
      <c r="B1323">
        <v>0</v>
      </c>
      <c r="C1323">
        <v>950</v>
      </c>
    </row>
    <row r="1324" spans="1:3" x14ac:dyDescent="0.25">
      <c r="A1324" t="s">
        <v>3455</v>
      </c>
      <c r="B1324">
        <v>0</v>
      </c>
      <c r="C1324">
        <v>700</v>
      </c>
    </row>
    <row r="1325" spans="1:3" x14ac:dyDescent="0.25">
      <c r="A1325" t="s">
        <v>3456</v>
      </c>
      <c r="B1325">
        <v>0</v>
      </c>
      <c r="C1325">
        <v>1450</v>
      </c>
    </row>
    <row r="1326" spans="1:3" x14ac:dyDescent="0.25">
      <c r="A1326" t="s">
        <v>3457</v>
      </c>
      <c r="B1326">
        <v>0</v>
      </c>
      <c r="C1326">
        <v>4400</v>
      </c>
    </row>
    <row r="1327" spans="1:3" x14ac:dyDescent="0.25">
      <c r="A1327" t="s">
        <v>3458</v>
      </c>
      <c r="B1327">
        <v>0</v>
      </c>
      <c r="C1327">
        <v>2650</v>
      </c>
    </row>
    <row r="1328" spans="1:3" x14ac:dyDescent="0.25">
      <c r="A1328" t="s">
        <v>3459</v>
      </c>
      <c r="B1328">
        <v>0</v>
      </c>
      <c r="C1328">
        <v>35400</v>
      </c>
    </row>
    <row r="1329" spans="1:3" x14ac:dyDescent="0.25">
      <c r="A1329" t="s">
        <v>3460</v>
      </c>
      <c r="B1329">
        <v>0</v>
      </c>
      <c r="C1329">
        <v>7200</v>
      </c>
    </row>
    <row r="1330" spans="1:3" x14ac:dyDescent="0.25">
      <c r="A1330" t="s">
        <v>3461</v>
      </c>
      <c r="B1330">
        <v>0</v>
      </c>
      <c r="C1330">
        <v>1475</v>
      </c>
    </row>
    <row r="1331" spans="1:3" x14ac:dyDescent="0.25">
      <c r="A1331" t="s">
        <v>3462</v>
      </c>
      <c r="B1331">
        <v>0</v>
      </c>
      <c r="C1331">
        <v>0</v>
      </c>
    </row>
    <row r="1332" spans="1:3" x14ac:dyDescent="0.25">
      <c r="A1332" t="s">
        <v>3463</v>
      </c>
      <c r="B1332">
        <v>0</v>
      </c>
      <c r="C1332">
        <v>1300</v>
      </c>
    </row>
    <row r="1333" spans="1:3" x14ac:dyDescent="0.25">
      <c r="A1333" t="s">
        <v>3464</v>
      </c>
      <c r="B1333">
        <v>0</v>
      </c>
      <c r="C1333">
        <v>280</v>
      </c>
    </row>
    <row r="1334" spans="1:3" x14ac:dyDescent="0.25">
      <c r="A1334" t="s">
        <v>3465</v>
      </c>
      <c r="B1334">
        <v>0</v>
      </c>
      <c r="C1334">
        <v>1650</v>
      </c>
    </row>
    <row r="1335" spans="1:3" x14ac:dyDescent="0.25">
      <c r="A1335" t="s">
        <v>3466</v>
      </c>
      <c r="B1335">
        <v>0</v>
      </c>
      <c r="C1335">
        <v>1300</v>
      </c>
    </row>
    <row r="1336" spans="1:3" x14ac:dyDescent="0.25">
      <c r="A1336" t="s">
        <v>3467</v>
      </c>
      <c r="B1336">
        <v>0</v>
      </c>
      <c r="C1336">
        <v>3450</v>
      </c>
    </row>
    <row r="1337" spans="1:3" x14ac:dyDescent="0.25">
      <c r="A1337" t="s">
        <v>3468</v>
      </c>
      <c r="B1337">
        <v>0</v>
      </c>
      <c r="C1337">
        <v>380</v>
      </c>
    </row>
    <row r="1338" spans="1:3" x14ac:dyDescent="0.25">
      <c r="A1338" t="s">
        <v>3469</v>
      </c>
      <c r="B1338">
        <v>0</v>
      </c>
      <c r="C1338">
        <v>1050</v>
      </c>
    </row>
    <row r="1339" spans="1:3" x14ac:dyDescent="0.25">
      <c r="A1339" t="s">
        <v>3470</v>
      </c>
      <c r="B1339">
        <v>0</v>
      </c>
      <c r="C1339">
        <v>270</v>
      </c>
    </row>
    <row r="1340" spans="1:3" x14ac:dyDescent="0.25">
      <c r="A1340" t="s">
        <v>3471</v>
      </c>
      <c r="B1340">
        <v>0</v>
      </c>
      <c r="C1340">
        <v>5900</v>
      </c>
    </row>
    <row r="1341" spans="1:3" x14ac:dyDescent="0.25">
      <c r="A1341" t="s">
        <v>3472</v>
      </c>
      <c r="B1341">
        <v>0</v>
      </c>
      <c r="C1341">
        <v>0</v>
      </c>
    </row>
    <row r="1342" spans="1:3" x14ac:dyDescent="0.25">
      <c r="A1342" t="s">
        <v>3473</v>
      </c>
      <c r="B1342">
        <v>0</v>
      </c>
      <c r="C1342">
        <v>7600</v>
      </c>
    </row>
    <row r="1343" spans="1:3" x14ac:dyDescent="0.25">
      <c r="A1343" t="s">
        <v>3474</v>
      </c>
      <c r="B1343">
        <v>0</v>
      </c>
      <c r="C1343">
        <v>250</v>
      </c>
    </row>
    <row r="1344" spans="1:3" x14ac:dyDescent="0.25">
      <c r="A1344" t="s">
        <v>3475</v>
      </c>
      <c r="B1344">
        <v>0</v>
      </c>
      <c r="C1344">
        <v>4500</v>
      </c>
    </row>
    <row r="1345" spans="1:3" x14ac:dyDescent="0.25">
      <c r="A1345" t="s">
        <v>3476</v>
      </c>
      <c r="B1345">
        <v>0</v>
      </c>
      <c r="C1345">
        <v>1600</v>
      </c>
    </row>
    <row r="1346" spans="1:3" x14ac:dyDescent="0.25">
      <c r="A1346" t="s">
        <v>3477</v>
      </c>
      <c r="B1346">
        <v>0</v>
      </c>
      <c r="C1346">
        <v>1750</v>
      </c>
    </row>
    <row r="1347" spans="1:3" x14ac:dyDescent="0.25">
      <c r="A1347" t="s">
        <v>3478</v>
      </c>
      <c r="B1347">
        <v>0</v>
      </c>
      <c r="C1347">
        <v>840</v>
      </c>
    </row>
    <row r="1348" spans="1:3" x14ac:dyDescent="0.25">
      <c r="A1348" t="s">
        <v>3479</v>
      </c>
      <c r="B1348">
        <v>0</v>
      </c>
      <c r="C1348">
        <v>700</v>
      </c>
    </row>
    <row r="1349" spans="1:3" x14ac:dyDescent="0.25">
      <c r="A1349" t="s">
        <v>3480</v>
      </c>
      <c r="B1349">
        <v>0</v>
      </c>
      <c r="C1349">
        <v>2250</v>
      </c>
    </row>
    <row r="1350" spans="1:3" x14ac:dyDescent="0.25">
      <c r="A1350" t="s">
        <v>3481</v>
      </c>
      <c r="B1350">
        <v>0</v>
      </c>
      <c r="C1350">
        <v>1</v>
      </c>
    </row>
    <row r="1351" spans="1:3" x14ac:dyDescent="0.25">
      <c r="A1351" t="s">
        <v>3482</v>
      </c>
      <c r="B1351">
        <v>0</v>
      </c>
      <c r="C1351">
        <v>5350</v>
      </c>
    </row>
    <row r="1352" spans="1:3" x14ac:dyDescent="0.25">
      <c r="A1352" t="s">
        <v>3483</v>
      </c>
      <c r="B1352">
        <v>0</v>
      </c>
      <c r="C1352">
        <v>750</v>
      </c>
    </row>
    <row r="1353" spans="1:3" x14ac:dyDescent="0.25">
      <c r="A1353" t="s">
        <v>3484</v>
      </c>
      <c r="B1353">
        <v>0</v>
      </c>
      <c r="C1353">
        <v>3700</v>
      </c>
    </row>
    <row r="1354" spans="1:3" x14ac:dyDescent="0.25">
      <c r="A1354" t="s">
        <v>3485</v>
      </c>
      <c r="B1354">
        <v>0</v>
      </c>
      <c r="C1354">
        <v>3150</v>
      </c>
    </row>
    <row r="1355" spans="1:3" x14ac:dyDescent="0.25">
      <c r="A1355" t="s">
        <v>3486</v>
      </c>
      <c r="B1355">
        <v>0</v>
      </c>
      <c r="C1355">
        <v>3150</v>
      </c>
    </row>
    <row r="1356" spans="1:3" x14ac:dyDescent="0.25">
      <c r="A1356" t="s">
        <v>3487</v>
      </c>
      <c r="B1356">
        <v>0</v>
      </c>
      <c r="C1356">
        <v>1</v>
      </c>
    </row>
    <row r="1357" spans="1:3" x14ac:dyDescent="0.25">
      <c r="A1357" t="s">
        <v>3488</v>
      </c>
      <c r="B1357">
        <v>0</v>
      </c>
      <c r="C1357">
        <v>2700</v>
      </c>
    </row>
    <row r="1358" spans="1:3" x14ac:dyDescent="0.25">
      <c r="A1358" t="s">
        <v>3489</v>
      </c>
      <c r="B1358">
        <v>0</v>
      </c>
      <c r="C1358">
        <v>3300</v>
      </c>
    </row>
    <row r="1359" spans="1:3" x14ac:dyDescent="0.25">
      <c r="A1359" t="s">
        <v>3490</v>
      </c>
      <c r="B1359">
        <v>0</v>
      </c>
      <c r="C1359">
        <v>1150</v>
      </c>
    </row>
    <row r="1360" spans="1:3" x14ac:dyDescent="0.25">
      <c r="A1360" t="s">
        <v>3491</v>
      </c>
      <c r="B1360">
        <v>0</v>
      </c>
      <c r="C1360">
        <v>800</v>
      </c>
    </row>
    <row r="1361" spans="1:3" x14ac:dyDescent="0.25">
      <c r="A1361" t="s">
        <v>3492</v>
      </c>
      <c r="B1361">
        <v>80</v>
      </c>
      <c r="C1361">
        <v>370</v>
      </c>
    </row>
    <row r="1362" spans="1:3" x14ac:dyDescent="0.25">
      <c r="A1362" t="s">
        <v>3493</v>
      </c>
      <c r="B1362">
        <v>5</v>
      </c>
      <c r="C1362">
        <v>1750</v>
      </c>
    </row>
    <row r="1363" spans="1:3" x14ac:dyDescent="0.25">
      <c r="A1363" t="s">
        <v>3495</v>
      </c>
      <c r="B1363">
        <v>0</v>
      </c>
      <c r="C1363">
        <v>450</v>
      </c>
    </row>
    <row r="1364" spans="1:3" x14ac:dyDescent="0.25">
      <c r="A1364" t="s">
        <v>3496</v>
      </c>
      <c r="B1364">
        <v>0</v>
      </c>
      <c r="C1364">
        <v>7200</v>
      </c>
    </row>
    <row r="1365" spans="1:3" x14ac:dyDescent="0.25">
      <c r="A1365" t="s">
        <v>3497</v>
      </c>
      <c r="B1365">
        <v>0</v>
      </c>
      <c r="C1365">
        <v>5400</v>
      </c>
    </row>
    <row r="1366" spans="1:3" x14ac:dyDescent="0.25">
      <c r="A1366" t="s">
        <v>3498</v>
      </c>
      <c r="B1366">
        <v>0</v>
      </c>
      <c r="C1366">
        <v>2700</v>
      </c>
    </row>
    <row r="1367" spans="1:3" x14ac:dyDescent="0.25">
      <c r="A1367" t="s">
        <v>3499</v>
      </c>
      <c r="B1367">
        <v>0</v>
      </c>
      <c r="C1367">
        <v>9950</v>
      </c>
    </row>
    <row r="1368" spans="1:3" x14ac:dyDescent="0.25">
      <c r="A1368" t="s">
        <v>3500</v>
      </c>
      <c r="B1368">
        <v>0</v>
      </c>
      <c r="C1368">
        <v>2400</v>
      </c>
    </row>
    <row r="1369" spans="1:3" x14ac:dyDescent="0.25">
      <c r="A1369" t="s">
        <v>9</v>
      </c>
      <c r="B1369">
        <v>655</v>
      </c>
      <c r="C1369">
        <v>1500</v>
      </c>
    </row>
    <row r="1370" spans="1:3" x14ac:dyDescent="0.25">
      <c r="A1370" t="s">
        <v>3501</v>
      </c>
      <c r="B1370">
        <v>0</v>
      </c>
      <c r="C1370">
        <v>1600</v>
      </c>
    </row>
    <row r="1371" spans="1:3" x14ac:dyDescent="0.25">
      <c r="A1371" t="s">
        <v>3502</v>
      </c>
      <c r="B1371">
        <v>0</v>
      </c>
      <c r="C1371">
        <v>3200</v>
      </c>
    </row>
    <row r="1372" spans="1:3" x14ac:dyDescent="0.25">
      <c r="A1372" t="s">
        <v>3503</v>
      </c>
      <c r="B1372">
        <v>0</v>
      </c>
      <c r="C1372">
        <v>2400</v>
      </c>
    </row>
    <row r="1373" spans="1:3" x14ac:dyDescent="0.25">
      <c r="A1373" t="s">
        <v>3504</v>
      </c>
      <c r="B1373">
        <v>0</v>
      </c>
      <c r="C1373">
        <v>2080</v>
      </c>
    </row>
    <row r="1374" spans="1:3" x14ac:dyDescent="0.25">
      <c r="A1374" t="s">
        <v>3505</v>
      </c>
      <c r="B1374">
        <v>0</v>
      </c>
      <c r="C1374">
        <v>9800</v>
      </c>
    </row>
    <row r="1375" spans="1:3" x14ac:dyDescent="0.25">
      <c r="A1375" t="s">
        <v>3506</v>
      </c>
      <c r="B1375">
        <v>2</v>
      </c>
      <c r="C1375">
        <v>5650</v>
      </c>
    </row>
    <row r="1376" spans="1:3" x14ac:dyDescent="0.25">
      <c r="A1376" t="s">
        <v>3507</v>
      </c>
      <c r="B1376">
        <v>0</v>
      </c>
      <c r="C1376">
        <v>3450</v>
      </c>
    </row>
    <row r="1377" spans="1:3" x14ac:dyDescent="0.25">
      <c r="A1377" t="s">
        <v>3508</v>
      </c>
      <c r="B1377">
        <v>0</v>
      </c>
      <c r="C1377">
        <v>2500</v>
      </c>
    </row>
    <row r="1378" spans="1:3" x14ac:dyDescent="0.25">
      <c r="A1378" t="s">
        <v>3509</v>
      </c>
      <c r="B1378">
        <v>0</v>
      </c>
      <c r="C1378">
        <v>8100</v>
      </c>
    </row>
    <row r="1379" spans="1:3" x14ac:dyDescent="0.25">
      <c r="A1379" t="s">
        <v>3510</v>
      </c>
      <c r="B1379">
        <v>0</v>
      </c>
      <c r="C1379">
        <v>4500</v>
      </c>
    </row>
    <row r="1380" spans="1:3" x14ac:dyDescent="0.25">
      <c r="A1380" t="s">
        <v>3511</v>
      </c>
      <c r="B1380">
        <v>0</v>
      </c>
      <c r="C1380">
        <v>1200</v>
      </c>
    </row>
    <row r="1381" spans="1:3" x14ac:dyDescent="0.25">
      <c r="A1381" t="s">
        <v>3512</v>
      </c>
      <c r="B1381">
        <v>0</v>
      </c>
      <c r="C1381">
        <v>9900</v>
      </c>
    </row>
    <row r="1382" spans="1:3" x14ac:dyDescent="0.25">
      <c r="A1382" t="s">
        <v>3513</v>
      </c>
      <c r="B1382">
        <v>0</v>
      </c>
      <c r="C1382">
        <v>0</v>
      </c>
    </row>
    <row r="1383" spans="1:3" x14ac:dyDescent="0.25">
      <c r="A1383" t="s">
        <v>3514</v>
      </c>
      <c r="B1383">
        <v>0</v>
      </c>
      <c r="C1383">
        <v>6900</v>
      </c>
    </row>
    <row r="1384" spans="1:3" x14ac:dyDescent="0.25">
      <c r="A1384" t="s">
        <v>3515</v>
      </c>
      <c r="B1384">
        <v>0</v>
      </c>
      <c r="C1384">
        <v>800</v>
      </c>
    </row>
    <row r="1385" spans="1:3" x14ac:dyDescent="0.25">
      <c r="A1385" t="s">
        <v>3516</v>
      </c>
      <c r="B1385">
        <v>0</v>
      </c>
      <c r="C1385">
        <v>6500</v>
      </c>
    </row>
    <row r="1386" spans="1:3" x14ac:dyDescent="0.25">
      <c r="A1386" t="s">
        <v>3517</v>
      </c>
      <c r="B1386">
        <v>0</v>
      </c>
      <c r="C1386">
        <v>0</v>
      </c>
    </row>
    <row r="1387" spans="1:3" x14ac:dyDescent="0.25">
      <c r="A1387" t="s">
        <v>3518</v>
      </c>
      <c r="B1387">
        <v>0</v>
      </c>
      <c r="C1387">
        <v>8600</v>
      </c>
    </row>
    <row r="1388" spans="1:3" x14ac:dyDescent="0.25">
      <c r="A1388" t="s">
        <v>3519</v>
      </c>
      <c r="B1388">
        <v>0</v>
      </c>
      <c r="C1388">
        <v>8000</v>
      </c>
    </row>
    <row r="1389" spans="1:3" x14ac:dyDescent="0.25">
      <c r="A1389" t="s">
        <v>3520</v>
      </c>
      <c r="B1389">
        <v>0</v>
      </c>
      <c r="C1389">
        <v>6950</v>
      </c>
    </row>
    <row r="1390" spans="1:3" x14ac:dyDescent="0.25">
      <c r="A1390" t="s">
        <v>3521</v>
      </c>
      <c r="B1390">
        <v>0</v>
      </c>
      <c r="C1390">
        <v>1920</v>
      </c>
    </row>
    <row r="1391" spans="1:3" x14ac:dyDescent="0.25">
      <c r="A1391" t="s">
        <v>3522</v>
      </c>
      <c r="B1391">
        <v>0</v>
      </c>
      <c r="C1391">
        <v>2340</v>
      </c>
    </row>
    <row r="1392" spans="1:3" x14ac:dyDescent="0.25">
      <c r="A1392" t="s">
        <v>3523</v>
      </c>
      <c r="B1392">
        <v>0</v>
      </c>
      <c r="C1392">
        <v>0</v>
      </c>
    </row>
    <row r="1393" spans="1:3" x14ac:dyDescent="0.25">
      <c r="A1393" t="s">
        <v>3524</v>
      </c>
      <c r="B1393">
        <v>0</v>
      </c>
      <c r="C1393">
        <v>5400</v>
      </c>
    </row>
    <row r="1394" spans="1:3" x14ac:dyDescent="0.25">
      <c r="A1394" t="s">
        <v>3525</v>
      </c>
      <c r="B1394">
        <v>0</v>
      </c>
      <c r="C1394">
        <v>725</v>
      </c>
    </row>
    <row r="1395" spans="1:3" x14ac:dyDescent="0.25">
      <c r="A1395" t="s">
        <v>3526</v>
      </c>
      <c r="B1395">
        <v>0</v>
      </c>
      <c r="C1395">
        <v>500</v>
      </c>
    </row>
    <row r="1396" spans="1:3" x14ac:dyDescent="0.25">
      <c r="A1396" t="s">
        <v>69</v>
      </c>
      <c r="B1396">
        <v>278</v>
      </c>
      <c r="C1396">
        <v>700</v>
      </c>
    </row>
    <row r="1397" spans="1:3" x14ac:dyDescent="0.25">
      <c r="A1397" t="s">
        <v>3527</v>
      </c>
      <c r="B1397">
        <v>0</v>
      </c>
      <c r="C1397">
        <v>6300</v>
      </c>
    </row>
    <row r="1398" spans="1:3" x14ac:dyDescent="0.25">
      <c r="A1398" t="s">
        <v>3528</v>
      </c>
      <c r="B1398">
        <v>0</v>
      </c>
      <c r="C1398">
        <v>3450</v>
      </c>
    </row>
    <row r="1399" spans="1:3" x14ac:dyDescent="0.25">
      <c r="A1399" t="s">
        <v>3529</v>
      </c>
      <c r="B1399">
        <v>781</v>
      </c>
      <c r="C1399">
        <v>4450</v>
      </c>
    </row>
    <row r="1400" spans="1:3" x14ac:dyDescent="0.25">
      <c r="A1400" t="s">
        <v>3530</v>
      </c>
      <c r="B1400">
        <v>0</v>
      </c>
      <c r="C1400">
        <v>3400</v>
      </c>
    </row>
    <row r="1401" spans="1:3" x14ac:dyDescent="0.25">
      <c r="A1401" t="s">
        <v>3531</v>
      </c>
      <c r="B1401">
        <v>0</v>
      </c>
      <c r="C1401">
        <v>8050</v>
      </c>
    </row>
    <row r="1402" spans="1:3" x14ac:dyDescent="0.25">
      <c r="A1402" t="s">
        <v>3532</v>
      </c>
      <c r="B1402">
        <v>0</v>
      </c>
      <c r="C1402">
        <v>23750</v>
      </c>
    </row>
    <row r="1403" spans="1:3" x14ac:dyDescent="0.25">
      <c r="A1403" t="s">
        <v>3533</v>
      </c>
      <c r="B1403">
        <v>0</v>
      </c>
      <c r="C1403">
        <v>230</v>
      </c>
    </row>
    <row r="1404" spans="1:3" x14ac:dyDescent="0.25">
      <c r="A1404" t="s">
        <v>3534</v>
      </c>
      <c r="B1404">
        <v>0</v>
      </c>
      <c r="C1404">
        <v>4900</v>
      </c>
    </row>
    <row r="1405" spans="1:3" x14ac:dyDescent="0.25">
      <c r="A1405" t="s">
        <v>3535</v>
      </c>
      <c r="B1405">
        <v>0</v>
      </c>
      <c r="C1405">
        <v>8600</v>
      </c>
    </row>
    <row r="1406" spans="1:3" x14ac:dyDescent="0.25">
      <c r="A1406" t="s">
        <v>3536</v>
      </c>
      <c r="B1406">
        <v>0</v>
      </c>
      <c r="C1406">
        <v>7450</v>
      </c>
    </row>
    <row r="1407" spans="1:3" x14ac:dyDescent="0.25">
      <c r="A1407" t="s">
        <v>3537</v>
      </c>
      <c r="B1407">
        <v>0</v>
      </c>
      <c r="C1407">
        <v>3600</v>
      </c>
    </row>
    <row r="1408" spans="1:3" x14ac:dyDescent="0.25">
      <c r="A1408" t="s">
        <v>3538</v>
      </c>
      <c r="B1408">
        <v>0</v>
      </c>
      <c r="C1408">
        <v>5050</v>
      </c>
    </row>
    <row r="1409" spans="1:3" x14ac:dyDescent="0.25">
      <c r="A1409" t="s">
        <v>3539</v>
      </c>
      <c r="B1409">
        <v>0</v>
      </c>
      <c r="C1409">
        <v>11250</v>
      </c>
    </row>
    <row r="1410" spans="1:3" x14ac:dyDescent="0.25">
      <c r="A1410" t="s">
        <v>3540</v>
      </c>
      <c r="B1410">
        <v>0</v>
      </c>
      <c r="C1410">
        <v>8400</v>
      </c>
    </row>
    <row r="1411" spans="1:3" x14ac:dyDescent="0.25">
      <c r="A1411" t="s">
        <v>3541</v>
      </c>
      <c r="B1411">
        <v>0</v>
      </c>
      <c r="C1411">
        <v>3700</v>
      </c>
    </row>
    <row r="1412" spans="1:3" x14ac:dyDescent="0.25">
      <c r="A1412" t="s">
        <v>3542</v>
      </c>
      <c r="B1412">
        <v>0</v>
      </c>
      <c r="C1412">
        <v>140</v>
      </c>
    </row>
    <row r="1413" spans="1:3" x14ac:dyDescent="0.25">
      <c r="A1413" t="s">
        <v>3543</v>
      </c>
      <c r="B1413">
        <v>0</v>
      </c>
      <c r="C1413">
        <v>5200</v>
      </c>
    </row>
    <row r="1414" spans="1:3" x14ac:dyDescent="0.25">
      <c r="A1414" t="s">
        <v>3544</v>
      </c>
      <c r="B1414">
        <v>427</v>
      </c>
      <c r="C1414">
        <v>7750</v>
      </c>
    </row>
    <row r="1415" spans="1:3" x14ac:dyDescent="0.25">
      <c r="A1415" t="s">
        <v>3545</v>
      </c>
      <c r="B1415">
        <v>0</v>
      </c>
      <c r="C1415">
        <v>11150</v>
      </c>
    </row>
    <row r="1416" spans="1:3" x14ac:dyDescent="0.25">
      <c r="A1416" t="s">
        <v>3546</v>
      </c>
      <c r="B1416">
        <v>0</v>
      </c>
      <c r="C1416">
        <v>1500</v>
      </c>
    </row>
    <row r="1417" spans="1:3" x14ac:dyDescent="0.25">
      <c r="A1417" t="s">
        <v>3547</v>
      </c>
      <c r="B1417">
        <v>0</v>
      </c>
      <c r="C1417">
        <v>700</v>
      </c>
    </row>
    <row r="1418" spans="1:3" x14ac:dyDescent="0.25">
      <c r="A1418" t="s">
        <v>3548</v>
      </c>
      <c r="B1418">
        <v>0</v>
      </c>
      <c r="C1418">
        <v>13750</v>
      </c>
    </row>
    <row r="1419" spans="1:3" x14ac:dyDescent="0.25">
      <c r="A1419" t="s">
        <v>3549</v>
      </c>
      <c r="B1419">
        <v>0</v>
      </c>
      <c r="C1419">
        <v>2400</v>
      </c>
    </row>
    <row r="1420" spans="1:3" x14ac:dyDescent="0.25">
      <c r="A1420" t="s">
        <v>3550</v>
      </c>
      <c r="B1420">
        <v>0</v>
      </c>
      <c r="C1420">
        <v>5500</v>
      </c>
    </row>
    <row r="1421" spans="1:3" x14ac:dyDescent="0.25">
      <c r="A1421" t="s">
        <v>3551</v>
      </c>
      <c r="B1421">
        <v>1</v>
      </c>
      <c r="C1421">
        <v>3700</v>
      </c>
    </row>
    <row r="1422" spans="1:3" x14ac:dyDescent="0.25">
      <c r="A1422" t="s">
        <v>3552</v>
      </c>
      <c r="B1422">
        <v>1</v>
      </c>
      <c r="C1422">
        <v>3750</v>
      </c>
    </row>
    <row r="1423" spans="1:3" x14ac:dyDescent="0.25">
      <c r="A1423" t="s">
        <v>3553</v>
      </c>
      <c r="B1423">
        <v>0</v>
      </c>
      <c r="C1423">
        <v>6750</v>
      </c>
    </row>
    <row r="1424" spans="1:3" x14ac:dyDescent="0.25">
      <c r="A1424" t="s">
        <v>3554</v>
      </c>
      <c r="B1424">
        <v>0</v>
      </c>
      <c r="C1424">
        <v>5500</v>
      </c>
    </row>
    <row r="1425" spans="1:3" x14ac:dyDescent="0.25">
      <c r="A1425" t="s">
        <v>3555</v>
      </c>
      <c r="B1425">
        <v>0</v>
      </c>
      <c r="C1425">
        <v>7950</v>
      </c>
    </row>
    <row r="1426" spans="1:3" x14ac:dyDescent="0.25">
      <c r="A1426" t="s">
        <v>3556</v>
      </c>
      <c r="B1426">
        <v>0</v>
      </c>
      <c r="C1426">
        <v>4000</v>
      </c>
    </row>
    <row r="1427" spans="1:3" x14ac:dyDescent="0.25">
      <c r="A1427" t="s">
        <v>3557</v>
      </c>
      <c r="B1427">
        <v>0</v>
      </c>
      <c r="C1427">
        <v>3850</v>
      </c>
    </row>
    <row r="1428" spans="1:3" x14ac:dyDescent="0.25">
      <c r="A1428" t="s">
        <v>3558</v>
      </c>
      <c r="B1428">
        <v>0</v>
      </c>
      <c r="C1428">
        <v>1150</v>
      </c>
    </row>
    <row r="1429" spans="1:3" x14ac:dyDescent="0.25">
      <c r="A1429" t="s">
        <v>3559</v>
      </c>
      <c r="B1429">
        <v>0</v>
      </c>
      <c r="C1429">
        <v>1100</v>
      </c>
    </row>
    <row r="1430" spans="1:3" x14ac:dyDescent="0.25">
      <c r="A1430" t="s">
        <v>3560</v>
      </c>
      <c r="B1430">
        <v>159</v>
      </c>
      <c r="C1430">
        <v>11150</v>
      </c>
    </row>
    <row r="1431" spans="1:3" x14ac:dyDescent="0.25">
      <c r="A1431" t="s">
        <v>3561</v>
      </c>
      <c r="B1431">
        <v>0</v>
      </c>
      <c r="C1431">
        <v>0</v>
      </c>
    </row>
    <row r="1432" spans="1:3" x14ac:dyDescent="0.25">
      <c r="A1432" t="s">
        <v>3562</v>
      </c>
      <c r="B1432">
        <v>0</v>
      </c>
      <c r="C1432">
        <v>3500</v>
      </c>
    </row>
    <row r="1433" spans="1:3" x14ac:dyDescent="0.25">
      <c r="A1433" t="s">
        <v>3563</v>
      </c>
      <c r="B1433">
        <v>0</v>
      </c>
      <c r="C1433">
        <v>300</v>
      </c>
    </row>
    <row r="1434" spans="1:3" x14ac:dyDescent="0.25">
      <c r="A1434" t="s">
        <v>3564</v>
      </c>
      <c r="B1434">
        <v>0</v>
      </c>
      <c r="C1434">
        <v>6300</v>
      </c>
    </row>
    <row r="1435" spans="1:3" x14ac:dyDescent="0.25">
      <c r="A1435" t="s">
        <v>3565</v>
      </c>
      <c r="B1435">
        <v>0</v>
      </c>
      <c r="C1435">
        <v>1600</v>
      </c>
    </row>
    <row r="1436" spans="1:3" x14ac:dyDescent="0.25">
      <c r="A1436" t="s">
        <v>3566</v>
      </c>
      <c r="B1436">
        <v>0</v>
      </c>
      <c r="C1436">
        <v>1100</v>
      </c>
    </row>
    <row r="1437" spans="1:3" x14ac:dyDescent="0.25">
      <c r="A1437" t="s">
        <v>3567</v>
      </c>
      <c r="B1437">
        <v>0</v>
      </c>
      <c r="C1437">
        <v>5850</v>
      </c>
    </row>
    <row r="1438" spans="1:3" x14ac:dyDescent="0.25">
      <c r="A1438" t="s">
        <v>3568</v>
      </c>
      <c r="B1438">
        <v>0</v>
      </c>
      <c r="C1438">
        <v>4850</v>
      </c>
    </row>
    <row r="1439" spans="1:3" x14ac:dyDescent="0.25">
      <c r="A1439" t="s">
        <v>3569</v>
      </c>
      <c r="B1439">
        <v>3</v>
      </c>
      <c r="C1439">
        <v>4400</v>
      </c>
    </row>
    <row r="1440" spans="1:3" x14ac:dyDescent="0.25">
      <c r="A1440" t="s">
        <v>3570</v>
      </c>
      <c r="B1440">
        <v>0</v>
      </c>
      <c r="C1440">
        <v>9650</v>
      </c>
    </row>
    <row r="1441" spans="1:3" x14ac:dyDescent="0.25">
      <c r="A1441" t="s">
        <v>3571</v>
      </c>
      <c r="B1441">
        <v>0</v>
      </c>
      <c r="C1441">
        <v>10650</v>
      </c>
    </row>
    <row r="1442" spans="1:3" x14ac:dyDescent="0.25">
      <c r="A1442" t="s">
        <v>3572</v>
      </c>
      <c r="B1442">
        <v>0</v>
      </c>
      <c r="C1442">
        <v>6900</v>
      </c>
    </row>
    <row r="1443" spans="1:3" x14ac:dyDescent="0.25">
      <c r="A1443" t="s">
        <v>3573</v>
      </c>
      <c r="B1443">
        <v>0</v>
      </c>
      <c r="C1443">
        <v>3550</v>
      </c>
    </row>
    <row r="1444" spans="1:3" x14ac:dyDescent="0.25">
      <c r="A1444" t="s">
        <v>3574</v>
      </c>
      <c r="B1444">
        <v>0</v>
      </c>
      <c r="C1444">
        <v>18000</v>
      </c>
    </row>
    <row r="1445" spans="1:3" x14ac:dyDescent="0.25">
      <c r="A1445" t="s">
        <v>3575</v>
      </c>
      <c r="B1445">
        <v>0</v>
      </c>
      <c r="C1445">
        <v>18200</v>
      </c>
    </row>
    <row r="1446" spans="1:3" x14ac:dyDescent="0.25">
      <c r="A1446" t="s">
        <v>3576</v>
      </c>
      <c r="B1446">
        <v>0</v>
      </c>
      <c r="C1446">
        <v>10650</v>
      </c>
    </row>
    <row r="1447" spans="1:3" x14ac:dyDescent="0.25">
      <c r="A1447" t="s">
        <v>3577</v>
      </c>
      <c r="B1447">
        <v>0</v>
      </c>
      <c r="C1447">
        <v>11450</v>
      </c>
    </row>
    <row r="1448" spans="1:3" x14ac:dyDescent="0.25">
      <c r="A1448" t="s">
        <v>3578</v>
      </c>
      <c r="B1448">
        <v>36</v>
      </c>
      <c r="C1448">
        <v>2100</v>
      </c>
    </row>
    <row r="1449" spans="1:3" x14ac:dyDescent="0.25">
      <c r="A1449" t="s">
        <v>3579</v>
      </c>
      <c r="B1449">
        <v>0</v>
      </c>
      <c r="C1449">
        <v>270</v>
      </c>
    </row>
    <row r="1450" spans="1:3" x14ac:dyDescent="0.25">
      <c r="A1450" t="s">
        <v>3580</v>
      </c>
      <c r="B1450">
        <v>0</v>
      </c>
      <c r="C1450">
        <v>11950</v>
      </c>
    </row>
    <row r="1451" spans="1:3" x14ac:dyDescent="0.25">
      <c r="A1451" t="s">
        <v>3581</v>
      </c>
      <c r="B1451">
        <v>0</v>
      </c>
      <c r="C1451">
        <v>26000</v>
      </c>
    </row>
    <row r="1452" spans="1:3" x14ac:dyDescent="0.25">
      <c r="A1452" t="s">
        <v>3582</v>
      </c>
      <c r="B1452">
        <v>0</v>
      </c>
      <c r="C1452">
        <v>4800</v>
      </c>
    </row>
    <row r="1453" spans="1:3" x14ac:dyDescent="0.25">
      <c r="A1453" t="s">
        <v>3583</v>
      </c>
      <c r="B1453">
        <v>0</v>
      </c>
      <c r="C1453">
        <v>350</v>
      </c>
    </row>
    <row r="1454" spans="1:3" x14ac:dyDescent="0.25">
      <c r="A1454" t="s">
        <v>3584</v>
      </c>
      <c r="B1454">
        <v>0</v>
      </c>
      <c r="C1454">
        <v>800</v>
      </c>
    </row>
    <row r="1455" spans="1:3" x14ac:dyDescent="0.25">
      <c r="A1455" t="s">
        <v>3585</v>
      </c>
      <c r="B1455">
        <v>0</v>
      </c>
      <c r="C1455">
        <v>170</v>
      </c>
    </row>
    <row r="1456" spans="1:3" x14ac:dyDescent="0.25">
      <c r="A1456" t="s">
        <v>3586</v>
      </c>
      <c r="B1456">
        <v>0</v>
      </c>
      <c r="C1456">
        <v>3950</v>
      </c>
    </row>
    <row r="1457" spans="1:3" x14ac:dyDescent="0.25">
      <c r="A1457" t="s">
        <v>3587</v>
      </c>
      <c r="B1457">
        <v>0</v>
      </c>
      <c r="C1457">
        <v>480</v>
      </c>
    </row>
    <row r="1458" spans="1:3" x14ac:dyDescent="0.25">
      <c r="A1458" t="s">
        <v>3588</v>
      </c>
      <c r="B1458">
        <v>0</v>
      </c>
      <c r="C1458">
        <v>1100</v>
      </c>
    </row>
    <row r="1459" spans="1:3" x14ac:dyDescent="0.25">
      <c r="A1459" t="s">
        <v>3589</v>
      </c>
      <c r="B1459">
        <v>0</v>
      </c>
      <c r="C1459">
        <v>2050</v>
      </c>
    </row>
    <row r="1460" spans="1:3" x14ac:dyDescent="0.25">
      <c r="A1460" t="s">
        <v>3590</v>
      </c>
      <c r="B1460">
        <v>0</v>
      </c>
      <c r="C1460">
        <v>5350</v>
      </c>
    </row>
    <row r="1461" spans="1:3" x14ac:dyDescent="0.25">
      <c r="A1461" t="s">
        <v>3591</v>
      </c>
      <c r="B1461">
        <v>0</v>
      </c>
      <c r="C1461">
        <v>0</v>
      </c>
    </row>
    <row r="1462" spans="1:3" x14ac:dyDescent="0.25">
      <c r="A1462" t="s">
        <v>3592</v>
      </c>
      <c r="B1462">
        <v>0</v>
      </c>
      <c r="C1462">
        <v>4550</v>
      </c>
    </row>
    <row r="1463" spans="1:3" x14ac:dyDescent="0.25">
      <c r="A1463" t="s">
        <v>3593</v>
      </c>
      <c r="B1463">
        <v>0</v>
      </c>
      <c r="C1463">
        <v>9350</v>
      </c>
    </row>
    <row r="1464" spans="1:3" x14ac:dyDescent="0.25">
      <c r="A1464" t="s">
        <v>3594</v>
      </c>
      <c r="B1464">
        <v>0</v>
      </c>
      <c r="C1464">
        <v>3100</v>
      </c>
    </row>
    <row r="1465" spans="1:3" x14ac:dyDescent="0.25">
      <c r="A1465" t="s">
        <v>3595</v>
      </c>
      <c r="B1465">
        <v>0</v>
      </c>
      <c r="C1465">
        <v>6650</v>
      </c>
    </row>
    <row r="1466" spans="1:3" x14ac:dyDescent="0.25">
      <c r="A1466" t="s">
        <v>3596</v>
      </c>
      <c r="B1466">
        <v>0</v>
      </c>
      <c r="C1466">
        <v>9600</v>
      </c>
    </row>
    <row r="1467" spans="1:3" x14ac:dyDescent="0.25">
      <c r="A1467" t="s">
        <v>3597</v>
      </c>
      <c r="B1467">
        <v>0</v>
      </c>
      <c r="C1467">
        <v>4300</v>
      </c>
    </row>
    <row r="1468" spans="1:3" x14ac:dyDescent="0.25">
      <c r="A1468" t="s">
        <v>3598</v>
      </c>
      <c r="B1468">
        <v>0</v>
      </c>
      <c r="C1468">
        <v>575</v>
      </c>
    </row>
    <row r="1469" spans="1:3" x14ac:dyDescent="0.25">
      <c r="A1469" t="s">
        <v>3599</v>
      </c>
      <c r="B1469">
        <v>0</v>
      </c>
      <c r="C1469">
        <v>1000</v>
      </c>
    </row>
    <row r="1470" spans="1:3" x14ac:dyDescent="0.25">
      <c r="A1470" t="s">
        <v>3600</v>
      </c>
      <c r="B1470">
        <v>0</v>
      </c>
      <c r="C1470">
        <v>1200</v>
      </c>
    </row>
    <row r="1471" spans="1:3" x14ac:dyDescent="0.25">
      <c r="A1471" t="s">
        <v>3601</v>
      </c>
      <c r="B1471">
        <v>0</v>
      </c>
      <c r="C1471">
        <v>2600</v>
      </c>
    </row>
    <row r="1472" spans="1:3" x14ac:dyDescent="0.25">
      <c r="A1472" t="s">
        <v>3602</v>
      </c>
      <c r="B1472">
        <v>0</v>
      </c>
      <c r="C1472">
        <v>300</v>
      </c>
    </row>
    <row r="1473" spans="1:3" x14ac:dyDescent="0.25">
      <c r="A1473" t="s">
        <v>3603</v>
      </c>
      <c r="B1473">
        <v>0</v>
      </c>
      <c r="C1473">
        <v>2900</v>
      </c>
    </row>
    <row r="1474" spans="1:3" x14ac:dyDescent="0.25">
      <c r="A1474" t="s">
        <v>3604</v>
      </c>
      <c r="B1474">
        <v>0</v>
      </c>
      <c r="C1474">
        <v>2300</v>
      </c>
    </row>
    <row r="1475" spans="1:3" x14ac:dyDescent="0.25">
      <c r="A1475" t="s">
        <v>3605</v>
      </c>
      <c r="B1475">
        <v>0</v>
      </c>
      <c r="C1475">
        <v>380</v>
      </c>
    </row>
    <row r="1476" spans="1:3" x14ac:dyDescent="0.25">
      <c r="A1476" t="s">
        <v>3606</v>
      </c>
      <c r="B1476">
        <v>0</v>
      </c>
      <c r="C1476">
        <v>600</v>
      </c>
    </row>
    <row r="1477" spans="1:3" x14ac:dyDescent="0.25">
      <c r="A1477" t="s">
        <v>3607</v>
      </c>
      <c r="B1477">
        <v>0</v>
      </c>
      <c r="C1477">
        <v>200</v>
      </c>
    </row>
    <row r="1478" spans="1:3" x14ac:dyDescent="0.25">
      <c r="A1478" t="s">
        <v>3608</v>
      </c>
      <c r="B1478">
        <v>0</v>
      </c>
      <c r="C1478">
        <v>5800</v>
      </c>
    </row>
    <row r="1479" spans="1:3" x14ac:dyDescent="0.25">
      <c r="A1479" t="s">
        <v>3609</v>
      </c>
      <c r="B1479">
        <v>0</v>
      </c>
      <c r="C1479">
        <v>8300</v>
      </c>
    </row>
    <row r="1480" spans="1:3" x14ac:dyDescent="0.25">
      <c r="A1480" t="s">
        <v>3610</v>
      </c>
      <c r="B1480">
        <v>0</v>
      </c>
      <c r="C1480">
        <v>7350</v>
      </c>
    </row>
    <row r="1481" spans="1:3" x14ac:dyDescent="0.25">
      <c r="A1481" t="s">
        <v>3611</v>
      </c>
      <c r="B1481">
        <v>0</v>
      </c>
      <c r="C1481">
        <v>7400</v>
      </c>
    </row>
    <row r="1482" spans="1:3" x14ac:dyDescent="0.25">
      <c r="A1482" t="s">
        <v>3612</v>
      </c>
      <c r="B1482">
        <v>0</v>
      </c>
      <c r="C1482">
        <v>10050</v>
      </c>
    </row>
    <row r="1483" spans="1:3" x14ac:dyDescent="0.25">
      <c r="A1483" t="s">
        <v>3613</v>
      </c>
      <c r="B1483">
        <v>0</v>
      </c>
      <c r="C1483">
        <v>9000</v>
      </c>
    </row>
    <row r="1484" spans="1:3" x14ac:dyDescent="0.25">
      <c r="A1484" t="s">
        <v>3614</v>
      </c>
      <c r="B1484">
        <v>0</v>
      </c>
      <c r="C1484">
        <v>4150</v>
      </c>
    </row>
    <row r="1485" spans="1:3" x14ac:dyDescent="0.25">
      <c r="A1485" t="s">
        <v>3615</v>
      </c>
      <c r="B1485">
        <v>0</v>
      </c>
      <c r="C1485">
        <v>850</v>
      </c>
    </row>
    <row r="1486" spans="1:3" x14ac:dyDescent="0.25">
      <c r="A1486" t="s">
        <v>3616</v>
      </c>
      <c r="B1486">
        <v>0</v>
      </c>
      <c r="C1486">
        <v>550</v>
      </c>
    </row>
    <row r="1487" spans="1:3" x14ac:dyDescent="0.25">
      <c r="A1487" t="s">
        <v>3617</v>
      </c>
      <c r="B1487">
        <v>0</v>
      </c>
      <c r="C1487">
        <v>550</v>
      </c>
    </row>
    <row r="1488" spans="1:3" x14ac:dyDescent="0.25">
      <c r="A1488" t="s">
        <v>3618</v>
      </c>
      <c r="B1488">
        <v>0</v>
      </c>
      <c r="C1488">
        <v>375</v>
      </c>
    </row>
    <row r="1489" spans="1:3" x14ac:dyDescent="0.25">
      <c r="A1489" t="s">
        <v>3619</v>
      </c>
      <c r="B1489">
        <v>0</v>
      </c>
      <c r="C1489">
        <v>4550</v>
      </c>
    </row>
    <row r="1490" spans="1:3" x14ac:dyDescent="0.25">
      <c r="A1490" t="s">
        <v>3620</v>
      </c>
      <c r="B1490">
        <v>1</v>
      </c>
      <c r="C1490">
        <v>5200</v>
      </c>
    </row>
    <row r="1491" spans="1:3" x14ac:dyDescent="0.25">
      <c r="A1491" t="s">
        <v>3621</v>
      </c>
      <c r="B1491">
        <v>0</v>
      </c>
      <c r="C1491">
        <v>6600</v>
      </c>
    </row>
    <row r="1492" spans="1:3" x14ac:dyDescent="0.25">
      <c r="A1492" t="s">
        <v>3622</v>
      </c>
      <c r="B1492">
        <v>0</v>
      </c>
      <c r="C1492">
        <v>18000</v>
      </c>
    </row>
    <row r="1493" spans="1:3" x14ac:dyDescent="0.25">
      <c r="A1493" t="s">
        <v>3623</v>
      </c>
      <c r="B1493">
        <v>14</v>
      </c>
      <c r="C1493">
        <v>4450</v>
      </c>
    </row>
    <row r="1494" spans="1:3" x14ac:dyDescent="0.25">
      <c r="A1494" t="s">
        <v>3624</v>
      </c>
      <c r="B1494">
        <v>0</v>
      </c>
      <c r="C1494">
        <v>3200</v>
      </c>
    </row>
    <row r="1495" spans="1:3" x14ac:dyDescent="0.25">
      <c r="A1495" t="s">
        <v>3625</v>
      </c>
      <c r="B1495">
        <v>4</v>
      </c>
      <c r="C1495">
        <v>9150</v>
      </c>
    </row>
    <row r="1496" spans="1:3" x14ac:dyDescent="0.25">
      <c r="A1496" t="s">
        <v>3626</v>
      </c>
      <c r="B1496">
        <v>180</v>
      </c>
      <c r="C1496">
        <v>4450</v>
      </c>
    </row>
    <row r="1497" spans="1:3" x14ac:dyDescent="0.25">
      <c r="A1497" t="s">
        <v>3627</v>
      </c>
      <c r="B1497">
        <v>138</v>
      </c>
      <c r="C1497">
        <v>10400</v>
      </c>
    </row>
    <row r="1498" spans="1:3" x14ac:dyDescent="0.25">
      <c r="A1498" t="s">
        <v>3628</v>
      </c>
      <c r="B1498">
        <v>0</v>
      </c>
      <c r="C1498">
        <v>1350</v>
      </c>
    </row>
    <row r="1499" spans="1:3" x14ac:dyDescent="0.25">
      <c r="A1499" t="s">
        <v>3629</v>
      </c>
      <c r="B1499">
        <v>0</v>
      </c>
      <c r="C1499">
        <v>2550</v>
      </c>
    </row>
    <row r="1500" spans="1:3" x14ac:dyDescent="0.25">
      <c r="A1500" t="s">
        <v>3630</v>
      </c>
      <c r="B1500">
        <v>0</v>
      </c>
      <c r="C1500">
        <v>7250</v>
      </c>
    </row>
    <row r="1501" spans="1:3" x14ac:dyDescent="0.25">
      <c r="A1501" t="s">
        <v>3631</v>
      </c>
      <c r="B1501">
        <v>0</v>
      </c>
      <c r="C1501">
        <v>1250</v>
      </c>
    </row>
    <row r="1502" spans="1:3" x14ac:dyDescent="0.25">
      <c r="A1502" t="s">
        <v>3632</v>
      </c>
      <c r="B1502">
        <v>0</v>
      </c>
      <c r="C1502">
        <v>1100</v>
      </c>
    </row>
    <row r="1503" spans="1:3" x14ac:dyDescent="0.25">
      <c r="A1503" t="s">
        <v>3633</v>
      </c>
      <c r="B1503">
        <v>41</v>
      </c>
      <c r="C1503">
        <v>5600</v>
      </c>
    </row>
    <row r="1504" spans="1:3" x14ac:dyDescent="0.25">
      <c r="A1504" t="s">
        <v>3634</v>
      </c>
      <c r="B1504">
        <v>0</v>
      </c>
      <c r="C1504">
        <v>7050</v>
      </c>
    </row>
    <row r="1505" spans="1:3" x14ac:dyDescent="0.25">
      <c r="A1505" t="s">
        <v>77</v>
      </c>
      <c r="B1505">
        <v>6725</v>
      </c>
      <c r="C1505">
        <v>200</v>
      </c>
    </row>
    <row r="1506" spans="1:3" x14ac:dyDescent="0.25">
      <c r="A1506" t="s">
        <v>20</v>
      </c>
      <c r="B1506">
        <v>509</v>
      </c>
      <c r="C1506">
        <v>200</v>
      </c>
    </row>
    <row r="1507" spans="1:3" x14ac:dyDescent="0.25">
      <c r="A1507" t="s">
        <v>3635</v>
      </c>
      <c r="B1507">
        <v>0</v>
      </c>
      <c r="C1507">
        <v>3900</v>
      </c>
    </row>
    <row r="1508" spans="1:3" x14ac:dyDescent="0.25">
      <c r="A1508" t="s">
        <v>3636</v>
      </c>
      <c r="B1508">
        <v>0</v>
      </c>
      <c r="C1508">
        <v>6250</v>
      </c>
    </row>
    <row r="1509" spans="1:3" x14ac:dyDescent="0.25">
      <c r="A1509" t="s">
        <v>3637</v>
      </c>
      <c r="B1509">
        <v>0</v>
      </c>
      <c r="C1509">
        <v>9850</v>
      </c>
    </row>
    <row r="1510" spans="1:3" x14ac:dyDescent="0.25">
      <c r="A1510" t="s">
        <v>3638</v>
      </c>
      <c r="B1510">
        <v>0</v>
      </c>
      <c r="C1510">
        <v>3450</v>
      </c>
    </row>
    <row r="1511" spans="1:3" x14ac:dyDescent="0.25">
      <c r="A1511" t="s">
        <v>3639</v>
      </c>
      <c r="B1511">
        <v>0</v>
      </c>
      <c r="C1511">
        <v>500</v>
      </c>
    </row>
    <row r="1512" spans="1:3" x14ac:dyDescent="0.25">
      <c r="A1512" t="s">
        <v>3640</v>
      </c>
      <c r="B1512">
        <v>0</v>
      </c>
      <c r="C1512">
        <v>1775</v>
      </c>
    </row>
    <row r="1513" spans="1:3" x14ac:dyDescent="0.25">
      <c r="A1513" t="s">
        <v>3641</v>
      </c>
      <c r="B1513">
        <v>0</v>
      </c>
      <c r="C1513">
        <v>3500</v>
      </c>
    </row>
    <row r="1514" spans="1:3" x14ac:dyDescent="0.25">
      <c r="A1514" t="s">
        <v>3642</v>
      </c>
      <c r="B1514">
        <v>0</v>
      </c>
      <c r="C1514">
        <v>7100</v>
      </c>
    </row>
    <row r="1515" spans="1:3" x14ac:dyDescent="0.25">
      <c r="A1515" t="s">
        <v>3643</v>
      </c>
      <c r="B1515">
        <v>0</v>
      </c>
      <c r="C1515">
        <v>850</v>
      </c>
    </row>
    <row r="1516" spans="1:3" x14ac:dyDescent="0.25">
      <c r="A1516" t="s">
        <v>3644</v>
      </c>
      <c r="B1516">
        <v>0</v>
      </c>
      <c r="C1516">
        <v>1450</v>
      </c>
    </row>
    <row r="1517" spans="1:3" x14ac:dyDescent="0.25">
      <c r="A1517" t="s">
        <v>3645</v>
      </c>
      <c r="B1517">
        <v>62</v>
      </c>
      <c r="C1517">
        <v>38000</v>
      </c>
    </row>
    <row r="1518" spans="1:3" x14ac:dyDescent="0.25">
      <c r="A1518" t="s">
        <v>3646</v>
      </c>
      <c r="B1518">
        <v>33</v>
      </c>
      <c r="C1518">
        <v>16300</v>
      </c>
    </row>
    <row r="1519" spans="1:3" x14ac:dyDescent="0.25">
      <c r="A1519" t="s">
        <v>3647</v>
      </c>
      <c r="B1519">
        <v>0</v>
      </c>
      <c r="C1519">
        <v>300</v>
      </c>
    </row>
    <row r="1520" spans="1:3" x14ac:dyDescent="0.25">
      <c r="A1520" t="s">
        <v>3648</v>
      </c>
      <c r="B1520">
        <v>0</v>
      </c>
      <c r="C1520">
        <v>3850</v>
      </c>
    </row>
    <row r="1521" spans="1:3" x14ac:dyDescent="0.25">
      <c r="A1521" t="s">
        <v>3649</v>
      </c>
      <c r="B1521">
        <v>0</v>
      </c>
      <c r="C1521">
        <v>5900</v>
      </c>
    </row>
    <row r="1522" spans="1:3" x14ac:dyDescent="0.25">
      <c r="A1522" t="s">
        <v>3650</v>
      </c>
      <c r="B1522">
        <v>0</v>
      </c>
      <c r="C1522">
        <v>150</v>
      </c>
    </row>
    <row r="1523" spans="1:3" x14ac:dyDescent="0.25">
      <c r="A1523" t="s">
        <v>3651</v>
      </c>
      <c r="B1523">
        <v>0</v>
      </c>
      <c r="C1523">
        <v>4400</v>
      </c>
    </row>
    <row r="1524" spans="1:3" x14ac:dyDescent="0.25">
      <c r="A1524" t="s">
        <v>3652</v>
      </c>
      <c r="B1524">
        <v>0</v>
      </c>
      <c r="C1524">
        <v>900</v>
      </c>
    </row>
    <row r="1525" spans="1:3" x14ac:dyDescent="0.25">
      <c r="A1525" t="s">
        <v>3653</v>
      </c>
      <c r="B1525">
        <v>0</v>
      </c>
      <c r="C1525">
        <v>5200</v>
      </c>
    </row>
    <row r="1526" spans="1:3" x14ac:dyDescent="0.25">
      <c r="A1526" t="s">
        <v>3654</v>
      </c>
      <c r="B1526">
        <v>0</v>
      </c>
      <c r="C1526">
        <v>1300</v>
      </c>
    </row>
    <row r="1527" spans="1:3" x14ac:dyDescent="0.25">
      <c r="A1527" t="s">
        <v>3655</v>
      </c>
      <c r="B1527">
        <v>0</v>
      </c>
      <c r="C1527">
        <v>1125</v>
      </c>
    </row>
    <row r="1528" spans="1:3" x14ac:dyDescent="0.25">
      <c r="A1528" t="s">
        <v>3656</v>
      </c>
      <c r="B1528">
        <v>10</v>
      </c>
      <c r="C1528">
        <v>5700</v>
      </c>
    </row>
    <row r="1529" spans="1:3" x14ac:dyDescent="0.25">
      <c r="A1529" t="s">
        <v>3657</v>
      </c>
      <c r="B1529">
        <v>0</v>
      </c>
      <c r="C1529">
        <v>2300</v>
      </c>
    </row>
    <row r="1530" spans="1:3" x14ac:dyDescent="0.25">
      <c r="A1530" t="s">
        <v>3658</v>
      </c>
      <c r="B1530">
        <v>1</v>
      </c>
      <c r="C1530">
        <v>2800</v>
      </c>
    </row>
    <row r="1531" spans="1:3" x14ac:dyDescent="0.25">
      <c r="A1531" t="s">
        <v>3659</v>
      </c>
      <c r="B1531">
        <v>0</v>
      </c>
      <c r="C1531">
        <v>9200</v>
      </c>
    </row>
    <row r="1532" spans="1:3" x14ac:dyDescent="0.25">
      <c r="A1532" t="s">
        <v>3660</v>
      </c>
      <c r="B1532">
        <v>0</v>
      </c>
      <c r="C1532">
        <v>10550</v>
      </c>
    </row>
    <row r="1533" spans="1:3" x14ac:dyDescent="0.25">
      <c r="A1533" t="s">
        <v>3661</v>
      </c>
      <c r="B1533">
        <v>0</v>
      </c>
      <c r="C1533">
        <v>600</v>
      </c>
    </row>
    <row r="1534" spans="1:3" x14ac:dyDescent="0.25">
      <c r="A1534" t="s">
        <v>3662</v>
      </c>
      <c r="B1534">
        <v>0</v>
      </c>
      <c r="C1534">
        <v>4200</v>
      </c>
    </row>
    <row r="1535" spans="1:3" x14ac:dyDescent="0.25">
      <c r="A1535" t="s">
        <v>3663</v>
      </c>
      <c r="B1535">
        <v>0</v>
      </c>
      <c r="C1535">
        <v>3900</v>
      </c>
    </row>
    <row r="1536" spans="1:3" x14ac:dyDescent="0.25">
      <c r="A1536" t="s">
        <v>2</v>
      </c>
      <c r="B1536">
        <v>61</v>
      </c>
      <c r="C1536">
        <v>9900</v>
      </c>
    </row>
    <row r="1537" spans="1:3" x14ac:dyDescent="0.25">
      <c r="A1537" t="s">
        <v>3664</v>
      </c>
      <c r="B1537">
        <v>0</v>
      </c>
      <c r="C1537">
        <v>11500</v>
      </c>
    </row>
    <row r="1538" spans="1:3" x14ac:dyDescent="0.25">
      <c r="A1538" t="s">
        <v>3665</v>
      </c>
      <c r="B1538">
        <v>0</v>
      </c>
      <c r="C1538">
        <v>2000</v>
      </c>
    </row>
    <row r="1539" spans="1:3" x14ac:dyDescent="0.25">
      <c r="A1539" t="s">
        <v>3666</v>
      </c>
      <c r="B1539">
        <v>0</v>
      </c>
      <c r="C1539">
        <v>4000</v>
      </c>
    </row>
    <row r="1540" spans="1:3" x14ac:dyDescent="0.25">
      <c r="A1540" t="s">
        <v>3667</v>
      </c>
      <c r="B1540">
        <v>0</v>
      </c>
      <c r="C1540">
        <v>450</v>
      </c>
    </row>
    <row r="1541" spans="1:3" x14ac:dyDescent="0.25">
      <c r="A1541" t="s">
        <v>3668</v>
      </c>
      <c r="B1541">
        <v>0</v>
      </c>
      <c r="C1541">
        <v>12100</v>
      </c>
    </row>
    <row r="1542" spans="1:3" x14ac:dyDescent="0.25">
      <c r="A1542" t="s">
        <v>3669</v>
      </c>
      <c r="B1542">
        <v>0</v>
      </c>
      <c r="C1542">
        <v>2000</v>
      </c>
    </row>
    <row r="1543" spans="1:3" x14ac:dyDescent="0.25">
      <c r="A1543" t="s">
        <v>3670</v>
      </c>
      <c r="B1543">
        <v>0</v>
      </c>
      <c r="C1543">
        <v>1000</v>
      </c>
    </row>
    <row r="1544" spans="1:3" x14ac:dyDescent="0.25">
      <c r="A1544" t="s">
        <v>3671</v>
      </c>
      <c r="B1544">
        <v>0</v>
      </c>
      <c r="C1544">
        <v>1000</v>
      </c>
    </row>
    <row r="1545" spans="1:3" x14ac:dyDescent="0.25">
      <c r="A1545" t="s">
        <v>3672</v>
      </c>
      <c r="B1545">
        <v>0</v>
      </c>
      <c r="C1545">
        <v>500</v>
      </c>
    </row>
    <row r="1546" spans="1:3" x14ac:dyDescent="0.25">
      <c r="A1546" t="s">
        <v>3673</v>
      </c>
      <c r="B1546">
        <v>0</v>
      </c>
      <c r="C1546">
        <v>400</v>
      </c>
    </row>
    <row r="1547" spans="1:3" x14ac:dyDescent="0.25">
      <c r="A1547" t="s">
        <v>3674</v>
      </c>
      <c r="B1547">
        <v>166.2</v>
      </c>
      <c r="C1547">
        <v>3300</v>
      </c>
    </row>
    <row r="1548" spans="1:3" x14ac:dyDescent="0.25">
      <c r="A1548" t="s">
        <v>3675</v>
      </c>
      <c r="B1548">
        <v>0</v>
      </c>
      <c r="C1548">
        <v>1</v>
      </c>
    </row>
    <row r="1549" spans="1:3" x14ac:dyDescent="0.25">
      <c r="A1549" t="s">
        <v>3676</v>
      </c>
      <c r="B1549">
        <v>0</v>
      </c>
      <c r="C1549">
        <v>10000</v>
      </c>
    </row>
    <row r="1550" spans="1:3" x14ac:dyDescent="0.25">
      <c r="A1550" t="s">
        <v>3677</v>
      </c>
      <c r="B1550">
        <v>0</v>
      </c>
      <c r="C1550">
        <v>3100</v>
      </c>
    </row>
    <row r="1551" spans="1:3" x14ac:dyDescent="0.25">
      <c r="A1551" t="s">
        <v>3678</v>
      </c>
      <c r="B1551">
        <v>0</v>
      </c>
      <c r="C1551">
        <v>5600</v>
      </c>
    </row>
    <row r="1552" spans="1:3" x14ac:dyDescent="0.25">
      <c r="A1552" t="s">
        <v>3679</v>
      </c>
      <c r="B1552">
        <v>40</v>
      </c>
      <c r="C1552">
        <v>150</v>
      </c>
    </row>
    <row r="1553" spans="1:3" x14ac:dyDescent="0.25">
      <c r="A1553" t="s">
        <v>3680</v>
      </c>
      <c r="B1553">
        <v>0</v>
      </c>
      <c r="C1553">
        <v>3900</v>
      </c>
    </row>
    <row r="1554" spans="1:3" x14ac:dyDescent="0.25">
      <c r="A1554" t="s">
        <v>3681</v>
      </c>
      <c r="B1554">
        <v>0</v>
      </c>
      <c r="C1554">
        <v>3600</v>
      </c>
    </row>
    <row r="1555" spans="1:3" x14ac:dyDescent="0.25">
      <c r="A1555" t="s">
        <v>3682</v>
      </c>
      <c r="B1555">
        <v>0</v>
      </c>
      <c r="C1555">
        <v>950</v>
      </c>
    </row>
    <row r="1556" spans="1:3" x14ac:dyDescent="0.25">
      <c r="A1556" t="s">
        <v>3683</v>
      </c>
      <c r="B1556">
        <v>1</v>
      </c>
      <c r="C1556">
        <v>7400</v>
      </c>
    </row>
    <row r="1557" spans="1:3" x14ac:dyDescent="0.25">
      <c r="A1557" t="s">
        <v>3684</v>
      </c>
      <c r="B1557">
        <v>0</v>
      </c>
      <c r="C1557">
        <v>8800</v>
      </c>
    </row>
    <row r="1558" spans="1:3" x14ac:dyDescent="0.25">
      <c r="A1558" t="s">
        <v>3685</v>
      </c>
      <c r="B1558">
        <v>0</v>
      </c>
      <c r="C1558">
        <v>500</v>
      </c>
    </row>
    <row r="1559" spans="1:3" x14ac:dyDescent="0.25">
      <c r="A1559" t="s">
        <v>3686</v>
      </c>
      <c r="B1559">
        <v>0</v>
      </c>
      <c r="C1559">
        <v>5550</v>
      </c>
    </row>
    <row r="1560" spans="1:3" x14ac:dyDescent="0.25">
      <c r="A1560" t="s">
        <v>3687</v>
      </c>
      <c r="B1560">
        <v>0</v>
      </c>
      <c r="C1560">
        <v>7100</v>
      </c>
    </row>
    <row r="1561" spans="1:3" x14ac:dyDescent="0.25">
      <c r="A1561" t="s">
        <v>3688</v>
      </c>
      <c r="B1561">
        <v>0</v>
      </c>
      <c r="C1561">
        <v>37500</v>
      </c>
    </row>
    <row r="1562" spans="1:3" x14ac:dyDescent="0.25">
      <c r="A1562" t="s">
        <v>3689</v>
      </c>
      <c r="B1562">
        <v>0</v>
      </c>
      <c r="C1562">
        <v>2950</v>
      </c>
    </row>
    <row r="1563" spans="1:3" x14ac:dyDescent="0.25">
      <c r="A1563" t="s">
        <v>3690</v>
      </c>
      <c r="B1563">
        <v>0</v>
      </c>
      <c r="C1563">
        <v>21300</v>
      </c>
    </row>
    <row r="1564" spans="1:3" x14ac:dyDescent="0.25">
      <c r="A1564" t="s">
        <v>3691</v>
      </c>
      <c r="B1564">
        <v>0</v>
      </c>
      <c r="C1564">
        <v>1500</v>
      </c>
    </row>
    <row r="1565" spans="1:3" x14ac:dyDescent="0.25">
      <c r="A1565" t="s">
        <v>3692</v>
      </c>
      <c r="B1565">
        <v>0</v>
      </c>
      <c r="C1565">
        <v>1499.99</v>
      </c>
    </row>
    <row r="1566" spans="1:3" x14ac:dyDescent="0.25">
      <c r="A1566" t="s">
        <v>3693</v>
      </c>
      <c r="B1566">
        <v>0</v>
      </c>
      <c r="C1566">
        <v>5800</v>
      </c>
    </row>
    <row r="1567" spans="1:3" x14ac:dyDescent="0.25">
      <c r="A1567" t="s">
        <v>3694</v>
      </c>
      <c r="B1567">
        <v>0</v>
      </c>
      <c r="C1567">
        <v>1200</v>
      </c>
    </row>
    <row r="1568" spans="1:3" x14ac:dyDescent="0.25">
      <c r="A1568" t="s">
        <v>3695</v>
      </c>
      <c r="B1568">
        <v>0</v>
      </c>
      <c r="C1568">
        <v>2550</v>
      </c>
    </row>
    <row r="1569" spans="1:3" x14ac:dyDescent="0.25">
      <c r="A1569" t="s">
        <v>3696</v>
      </c>
      <c r="B1569">
        <v>0</v>
      </c>
      <c r="C1569">
        <v>1200</v>
      </c>
    </row>
    <row r="1570" spans="1:3" x14ac:dyDescent="0.25">
      <c r="A1570" t="s">
        <v>3697</v>
      </c>
      <c r="B1570">
        <v>0</v>
      </c>
      <c r="C1570">
        <v>42500</v>
      </c>
    </row>
    <row r="1571" spans="1:3" x14ac:dyDescent="0.25">
      <c r="A1571" t="s">
        <v>3698</v>
      </c>
      <c r="B1571">
        <v>0</v>
      </c>
      <c r="C1571">
        <v>140</v>
      </c>
    </row>
    <row r="1572" spans="1:3" x14ac:dyDescent="0.25">
      <c r="A1572" t="s">
        <v>3699</v>
      </c>
      <c r="B1572">
        <v>0</v>
      </c>
      <c r="C1572">
        <v>650</v>
      </c>
    </row>
    <row r="1573" spans="1:3" x14ac:dyDescent="0.25">
      <c r="A1573" t="s">
        <v>3700</v>
      </c>
      <c r="B1573">
        <v>0</v>
      </c>
      <c r="C1573">
        <v>750</v>
      </c>
    </row>
    <row r="1574" spans="1:3" x14ac:dyDescent="0.25">
      <c r="A1574" t="s">
        <v>3701</v>
      </c>
      <c r="B1574">
        <v>0</v>
      </c>
      <c r="C1574">
        <v>7650</v>
      </c>
    </row>
    <row r="1575" spans="1:3" x14ac:dyDescent="0.25">
      <c r="A1575" t="s">
        <v>3702</v>
      </c>
      <c r="B1575">
        <v>0</v>
      </c>
      <c r="C1575">
        <v>300</v>
      </c>
    </row>
    <row r="1576" spans="1:3" x14ac:dyDescent="0.25">
      <c r="A1576" t="s">
        <v>3703</v>
      </c>
      <c r="B1576">
        <v>0</v>
      </c>
      <c r="C1576">
        <v>6850</v>
      </c>
    </row>
    <row r="1577" spans="1:3" x14ac:dyDescent="0.25">
      <c r="A1577" t="s">
        <v>3704</v>
      </c>
      <c r="B1577">
        <v>0</v>
      </c>
      <c r="C1577">
        <v>4950</v>
      </c>
    </row>
    <row r="1578" spans="1:3" x14ac:dyDescent="0.25">
      <c r="A1578" t="s">
        <v>3705</v>
      </c>
      <c r="B1578">
        <v>0</v>
      </c>
      <c r="C1578">
        <v>1300</v>
      </c>
    </row>
    <row r="1579" spans="1:3" x14ac:dyDescent="0.25">
      <c r="A1579" t="s">
        <v>3706</v>
      </c>
      <c r="B1579">
        <v>0</v>
      </c>
      <c r="C1579">
        <v>3700</v>
      </c>
    </row>
    <row r="1580" spans="1:3" x14ac:dyDescent="0.25">
      <c r="A1580" t="s">
        <v>3707</v>
      </c>
      <c r="B1580">
        <v>0</v>
      </c>
      <c r="C1580">
        <v>3850</v>
      </c>
    </row>
    <row r="1581" spans="1:3" x14ac:dyDescent="0.25">
      <c r="A1581" t="s">
        <v>3708</v>
      </c>
      <c r="B1581">
        <v>0</v>
      </c>
      <c r="C1581">
        <v>260</v>
      </c>
    </row>
    <row r="1582" spans="1:3" x14ac:dyDescent="0.25">
      <c r="A1582" t="s">
        <v>3709</v>
      </c>
      <c r="B1582">
        <v>5</v>
      </c>
      <c r="C1582">
        <v>420</v>
      </c>
    </row>
    <row r="1583" spans="1:3" x14ac:dyDescent="0.25">
      <c r="A1583" t="s">
        <v>3710</v>
      </c>
      <c r="B1583">
        <v>0</v>
      </c>
      <c r="C1583">
        <v>975</v>
      </c>
    </row>
    <row r="1584" spans="1:3" x14ac:dyDescent="0.25">
      <c r="A1584" t="s">
        <v>3711</v>
      </c>
      <c r="B1584">
        <v>79</v>
      </c>
      <c r="C1584">
        <v>240</v>
      </c>
    </row>
    <row r="1585" spans="1:3" x14ac:dyDescent="0.25">
      <c r="A1585" t="s">
        <v>3712</v>
      </c>
      <c r="B1585">
        <v>11</v>
      </c>
      <c r="C1585">
        <v>850</v>
      </c>
    </row>
    <row r="1586" spans="1:3" x14ac:dyDescent="0.25">
      <c r="A1586" t="s">
        <v>3713</v>
      </c>
      <c r="B1586">
        <v>0</v>
      </c>
      <c r="C1586">
        <v>600</v>
      </c>
    </row>
    <row r="1587" spans="1:3" x14ac:dyDescent="0.25">
      <c r="A1587" t="s">
        <v>3714</v>
      </c>
      <c r="B1587">
        <v>0</v>
      </c>
      <c r="C1587">
        <v>370</v>
      </c>
    </row>
    <row r="1588" spans="1:3" x14ac:dyDescent="0.25">
      <c r="A1588" t="s">
        <v>3715</v>
      </c>
      <c r="B1588">
        <v>100</v>
      </c>
      <c r="C1588">
        <v>2300</v>
      </c>
    </row>
    <row r="1589" spans="1:3" x14ac:dyDescent="0.25">
      <c r="A1589" t="s">
        <v>3716</v>
      </c>
      <c r="B1589">
        <v>0</v>
      </c>
      <c r="C1589">
        <v>15650</v>
      </c>
    </row>
    <row r="1590" spans="1:3" x14ac:dyDescent="0.25">
      <c r="A1590" t="s">
        <v>3717</v>
      </c>
      <c r="B1590">
        <v>0</v>
      </c>
      <c r="C1590">
        <v>11700</v>
      </c>
    </row>
    <row r="1591" spans="1:3" x14ac:dyDescent="0.25">
      <c r="A1591" t="s">
        <v>3718</v>
      </c>
      <c r="B1591">
        <v>0</v>
      </c>
      <c r="C1591">
        <v>9100</v>
      </c>
    </row>
    <row r="1592" spans="1:3" x14ac:dyDescent="0.25">
      <c r="A1592" t="s">
        <v>3719</v>
      </c>
      <c r="B1592">
        <v>0</v>
      </c>
      <c r="C1592">
        <v>3650</v>
      </c>
    </row>
    <row r="1593" spans="1:3" x14ac:dyDescent="0.25">
      <c r="A1593" t="s">
        <v>3720</v>
      </c>
      <c r="B1593">
        <v>0</v>
      </c>
      <c r="C1593">
        <v>1225</v>
      </c>
    </row>
    <row r="1594" spans="1:3" x14ac:dyDescent="0.25">
      <c r="A1594" t="s">
        <v>3721</v>
      </c>
      <c r="B1594">
        <v>5</v>
      </c>
      <c r="C1594">
        <v>31000</v>
      </c>
    </row>
    <row r="1595" spans="1:3" x14ac:dyDescent="0.25">
      <c r="A1595" t="s">
        <v>3722</v>
      </c>
      <c r="B1595">
        <v>0</v>
      </c>
      <c r="C1595">
        <v>1250</v>
      </c>
    </row>
    <row r="1596" spans="1:3" x14ac:dyDescent="0.25">
      <c r="A1596" t="s">
        <v>3723</v>
      </c>
      <c r="B1596">
        <v>25</v>
      </c>
      <c r="C1596">
        <v>11650</v>
      </c>
    </row>
    <row r="1597" spans="1:3" x14ac:dyDescent="0.25">
      <c r="A1597" t="s">
        <v>3724</v>
      </c>
      <c r="B1597">
        <v>0</v>
      </c>
      <c r="C1597">
        <v>160</v>
      </c>
    </row>
    <row r="1598" spans="1:3" x14ac:dyDescent="0.25">
      <c r="A1598" t="s">
        <v>3725</v>
      </c>
      <c r="B1598">
        <v>0</v>
      </c>
      <c r="C1598">
        <v>24000</v>
      </c>
    </row>
    <row r="1599" spans="1:3" x14ac:dyDescent="0.25">
      <c r="A1599" t="s">
        <v>3726</v>
      </c>
      <c r="B1599">
        <v>0</v>
      </c>
      <c r="C1599">
        <v>1450</v>
      </c>
    </row>
    <row r="1600" spans="1:3" x14ac:dyDescent="0.25">
      <c r="A1600" t="s">
        <v>3727</v>
      </c>
      <c r="B1600">
        <v>0</v>
      </c>
      <c r="C1600">
        <v>1800</v>
      </c>
    </row>
    <row r="1601" spans="1:3" x14ac:dyDescent="0.25">
      <c r="A1601" t="s">
        <v>3728</v>
      </c>
      <c r="B1601">
        <v>0</v>
      </c>
      <c r="C1601">
        <v>3000</v>
      </c>
    </row>
    <row r="1602" spans="1:3" x14ac:dyDescent="0.25">
      <c r="A1602" t="s">
        <v>3729</v>
      </c>
      <c r="B1602">
        <v>0</v>
      </c>
      <c r="C1602">
        <v>1</v>
      </c>
    </row>
    <row r="1603" spans="1:3" x14ac:dyDescent="0.25">
      <c r="A1603" t="s">
        <v>3730</v>
      </c>
      <c r="B1603">
        <v>0</v>
      </c>
      <c r="C1603">
        <v>1</v>
      </c>
    </row>
    <row r="1604" spans="1:3" x14ac:dyDescent="0.25">
      <c r="A1604" t="s">
        <v>3731</v>
      </c>
      <c r="B1604">
        <v>0</v>
      </c>
      <c r="C1604">
        <v>2750</v>
      </c>
    </row>
    <row r="1605" spans="1:3" x14ac:dyDescent="0.25">
      <c r="A1605" t="s">
        <v>3732</v>
      </c>
      <c r="B1605">
        <v>35</v>
      </c>
      <c r="C1605">
        <v>530</v>
      </c>
    </row>
    <row r="1606" spans="1:3" x14ac:dyDescent="0.25">
      <c r="A1606" t="s">
        <v>3733</v>
      </c>
      <c r="B1606">
        <v>0</v>
      </c>
      <c r="C1606">
        <v>1350</v>
      </c>
    </row>
    <row r="1607" spans="1:3" x14ac:dyDescent="0.25">
      <c r="A1607" t="s">
        <v>3734</v>
      </c>
      <c r="B1607">
        <v>0</v>
      </c>
      <c r="C1607">
        <v>2400</v>
      </c>
    </row>
    <row r="1608" spans="1:3" x14ac:dyDescent="0.25">
      <c r="A1608" t="s">
        <v>3735</v>
      </c>
      <c r="B1608">
        <v>0</v>
      </c>
      <c r="C1608">
        <v>6350</v>
      </c>
    </row>
    <row r="1609" spans="1:3" x14ac:dyDescent="0.25">
      <c r="A1609" t="s">
        <v>3736</v>
      </c>
      <c r="B1609">
        <v>0</v>
      </c>
      <c r="C1609">
        <v>1050</v>
      </c>
    </row>
    <row r="1610" spans="1:3" x14ac:dyDescent="0.25">
      <c r="A1610" t="s">
        <v>3737</v>
      </c>
      <c r="B1610">
        <v>0</v>
      </c>
      <c r="C1610">
        <v>2150</v>
      </c>
    </row>
    <row r="1611" spans="1:3" x14ac:dyDescent="0.25">
      <c r="A1611" t="s">
        <v>3738</v>
      </c>
      <c r="B1611">
        <v>0</v>
      </c>
      <c r="C1611">
        <v>12750</v>
      </c>
    </row>
    <row r="1612" spans="1:3" x14ac:dyDescent="0.25">
      <c r="A1612" t="s">
        <v>3739</v>
      </c>
      <c r="B1612">
        <v>0</v>
      </c>
      <c r="C1612">
        <v>5950</v>
      </c>
    </row>
    <row r="1613" spans="1:3" x14ac:dyDescent="0.25">
      <c r="A1613" t="s">
        <v>3740</v>
      </c>
      <c r="B1613">
        <v>0</v>
      </c>
      <c r="C1613">
        <v>950</v>
      </c>
    </row>
    <row r="1614" spans="1:3" x14ac:dyDescent="0.25">
      <c r="A1614" t="s">
        <v>3741</v>
      </c>
      <c r="B1614">
        <v>0</v>
      </c>
      <c r="C1614">
        <v>1350</v>
      </c>
    </row>
    <row r="1615" spans="1:3" x14ac:dyDescent="0.25">
      <c r="A1615" t="s">
        <v>3742</v>
      </c>
      <c r="B1615">
        <v>0</v>
      </c>
      <c r="C1615">
        <v>950</v>
      </c>
    </row>
    <row r="1616" spans="1:3" x14ac:dyDescent="0.25">
      <c r="A1616" t="s">
        <v>3743</v>
      </c>
      <c r="B1616">
        <v>0</v>
      </c>
      <c r="C1616">
        <v>13100</v>
      </c>
    </row>
    <row r="1617" spans="1:3" x14ac:dyDescent="0.25">
      <c r="A1617" t="s">
        <v>3744</v>
      </c>
      <c r="B1617">
        <v>1</v>
      </c>
      <c r="C1617">
        <v>22000</v>
      </c>
    </row>
    <row r="1618" spans="1:3" x14ac:dyDescent="0.25">
      <c r="A1618" t="s">
        <v>3745</v>
      </c>
      <c r="B1618">
        <v>0</v>
      </c>
      <c r="C1618">
        <v>4100</v>
      </c>
    </row>
    <row r="1619" spans="1:3" x14ac:dyDescent="0.25">
      <c r="A1619" t="s">
        <v>3746</v>
      </c>
      <c r="B1619">
        <v>0</v>
      </c>
      <c r="C1619">
        <v>3550</v>
      </c>
    </row>
    <row r="1620" spans="1:3" x14ac:dyDescent="0.25">
      <c r="A1620" t="s">
        <v>3747</v>
      </c>
      <c r="B1620">
        <v>97</v>
      </c>
      <c r="C1620">
        <v>17300</v>
      </c>
    </row>
    <row r="1621" spans="1:3" x14ac:dyDescent="0.25">
      <c r="A1621" t="s">
        <v>3748</v>
      </c>
      <c r="B1621">
        <v>0</v>
      </c>
      <c r="C1621">
        <v>3850</v>
      </c>
    </row>
    <row r="1622" spans="1:3" x14ac:dyDescent="0.25">
      <c r="A1622" t="s">
        <v>3749</v>
      </c>
      <c r="B1622">
        <v>0</v>
      </c>
      <c r="C1622">
        <v>3350</v>
      </c>
    </row>
    <row r="1623" spans="1:3" x14ac:dyDescent="0.25">
      <c r="A1623" t="s">
        <v>3750</v>
      </c>
      <c r="B1623">
        <v>0</v>
      </c>
      <c r="C1623">
        <v>420</v>
      </c>
    </row>
    <row r="1624" spans="1:3" x14ac:dyDescent="0.25">
      <c r="A1624" t="s">
        <v>3751</v>
      </c>
      <c r="B1624">
        <v>0</v>
      </c>
      <c r="C1624">
        <v>5350</v>
      </c>
    </row>
    <row r="1625" spans="1:3" x14ac:dyDescent="0.25">
      <c r="A1625" t="s">
        <v>3752</v>
      </c>
      <c r="B1625">
        <v>0</v>
      </c>
      <c r="C1625">
        <v>3250</v>
      </c>
    </row>
    <row r="1626" spans="1:3" x14ac:dyDescent="0.25">
      <c r="A1626" t="s">
        <v>3753</v>
      </c>
      <c r="B1626">
        <v>0</v>
      </c>
      <c r="C1626">
        <v>6050</v>
      </c>
    </row>
    <row r="1627" spans="1:3" x14ac:dyDescent="0.25">
      <c r="A1627" t="s">
        <v>3754</v>
      </c>
      <c r="B1627">
        <v>0</v>
      </c>
      <c r="C1627">
        <v>2200</v>
      </c>
    </row>
    <row r="1628" spans="1:3" x14ac:dyDescent="0.25">
      <c r="A1628" t="s">
        <v>3755</v>
      </c>
      <c r="B1628">
        <v>3</v>
      </c>
      <c r="C1628">
        <v>600</v>
      </c>
    </row>
    <row r="1629" spans="1:3" x14ac:dyDescent="0.25">
      <c r="A1629" t="s">
        <v>3756</v>
      </c>
      <c r="B1629">
        <v>0</v>
      </c>
      <c r="C1629">
        <v>6550</v>
      </c>
    </row>
    <row r="1630" spans="1:3" x14ac:dyDescent="0.25">
      <c r="A1630" t="s">
        <v>3757</v>
      </c>
      <c r="B1630">
        <v>0</v>
      </c>
      <c r="C1630">
        <v>700</v>
      </c>
    </row>
    <row r="1631" spans="1:3" x14ac:dyDescent="0.25">
      <c r="A1631" t="s">
        <v>3758</v>
      </c>
      <c r="B1631">
        <v>0</v>
      </c>
      <c r="C1631">
        <v>700</v>
      </c>
    </row>
    <row r="1632" spans="1:3" x14ac:dyDescent="0.25">
      <c r="A1632" t="s">
        <v>3759</v>
      </c>
      <c r="B1632">
        <v>0</v>
      </c>
      <c r="C1632">
        <v>1150</v>
      </c>
    </row>
    <row r="1633" spans="1:3" x14ac:dyDescent="0.25">
      <c r="A1633" t="s">
        <v>3760</v>
      </c>
      <c r="B1633">
        <v>0</v>
      </c>
      <c r="C1633">
        <v>460</v>
      </c>
    </row>
    <row r="1634" spans="1:3" x14ac:dyDescent="0.25">
      <c r="A1634" t="s">
        <v>3761</v>
      </c>
      <c r="B1634">
        <v>0</v>
      </c>
      <c r="C1634">
        <v>1150</v>
      </c>
    </row>
    <row r="1635" spans="1:3" x14ac:dyDescent="0.25">
      <c r="A1635" t="s">
        <v>3762</v>
      </c>
      <c r="B1635">
        <v>0</v>
      </c>
      <c r="C1635">
        <v>1000</v>
      </c>
    </row>
    <row r="1636" spans="1:3" x14ac:dyDescent="0.25">
      <c r="A1636" t="s">
        <v>3763</v>
      </c>
      <c r="B1636">
        <v>0</v>
      </c>
      <c r="C1636">
        <v>2200</v>
      </c>
    </row>
    <row r="1637" spans="1:3" x14ac:dyDescent="0.25">
      <c r="A1637" t="s">
        <v>3764</v>
      </c>
      <c r="B1637">
        <v>0</v>
      </c>
      <c r="C1637">
        <v>3700</v>
      </c>
    </row>
    <row r="1638" spans="1:3" x14ac:dyDescent="0.25">
      <c r="A1638" t="s">
        <v>3765</v>
      </c>
      <c r="B1638">
        <v>0</v>
      </c>
      <c r="C1638">
        <v>5400</v>
      </c>
    </row>
    <row r="1639" spans="1:3" x14ac:dyDescent="0.25">
      <c r="A1639" t="s">
        <v>3766</v>
      </c>
      <c r="B1639">
        <v>0</v>
      </c>
      <c r="C1639">
        <v>1050</v>
      </c>
    </row>
    <row r="1640" spans="1:3" x14ac:dyDescent="0.25">
      <c r="A1640" t="s">
        <v>3767</v>
      </c>
      <c r="B1640">
        <v>0</v>
      </c>
      <c r="C1640">
        <v>4550</v>
      </c>
    </row>
    <row r="1641" spans="1:3" x14ac:dyDescent="0.25">
      <c r="A1641" t="s">
        <v>3768</v>
      </c>
      <c r="B1641">
        <v>0</v>
      </c>
      <c r="C1641">
        <v>3950</v>
      </c>
    </row>
    <row r="1642" spans="1:3" x14ac:dyDescent="0.25">
      <c r="A1642" t="s">
        <v>3769</v>
      </c>
      <c r="B1642">
        <v>0</v>
      </c>
      <c r="C1642">
        <v>850</v>
      </c>
    </row>
    <row r="1643" spans="1:3" x14ac:dyDescent="0.25">
      <c r="A1643" t="s">
        <v>3770</v>
      </c>
      <c r="B1643">
        <v>0</v>
      </c>
      <c r="C1643">
        <v>1850</v>
      </c>
    </row>
    <row r="1644" spans="1:3" x14ac:dyDescent="0.25">
      <c r="A1644" t="s">
        <v>3771</v>
      </c>
      <c r="B1644">
        <v>0</v>
      </c>
      <c r="C1644">
        <v>7050</v>
      </c>
    </row>
    <row r="1645" spans="1:3" x14ac:dyDescent="0.25">
      <c r="A1645" t="s">
        <v>3772</v>
      </c>
      <c r="B1645">
        <v>0</v>
      </c>
      <c r="C1645">
        <v>6500</v>
      </c>
    </row>
    <row r="1646" spans="1:3" x14ac:dyDescent="0.25">
      <c r="A1646" t="s">
        <v>3773</v>
      </c>
      <c r="B1646">
        <v>0</v>
      </c>
      <c r="C1646">
        <v>7050</v>
      </c>
    </row>
    <row r="1647" spans="1:3" x14ac:dyDescent="0.25">
      <c r="A1647" t="s">
        <v>3774</v>
      </c>
      <c r="B1647">
        <v>0</v>
      </c>
      <c r="C1647">
        <v>7050</v>
      </c>
    </row>
    <row r="1648" spans="1:3" x14ac:dyDescent="0.25">
      <c r="A1648" t="s">
        <v>3775</v>
      </c>
      <c r="B1648">
        <v>0</v>
      </c>
      <c r="C1648">
        <v>0</v>
      </c>
    </row>
    <row r="1649" spans="1:3" x14ac:dyDescent="0.25">
      <c r="A1649" t="s">
        <v>3776</v>
      </c>
      <c r="B1649">
        <v>0</v>
      </c>
      <c r="C1649">
        <v>250</v>
      </c>
    </row>
    <row r="1650" spans="1:3" x14ac:dyDescent="0.25">
      <c r="A1650" t="s">
        <v>3777</v>
      </c>
      <c r="B1650">
        <v>0</v>
      </c>
      <c r="C1650">
        <v>5900</v>
      </c>
    </row>
    <row r="1651" spans="1:3" x14ac:dyDescent="0.25">
      <c r="A1651" t="s">
        <v>3778</v>
      </c>
      <c r="B1651">
        <v>0</v>
      </c>
      <c r="C1651">
        <v>6650</v>
      </c>
    </row>
    <row r="1652" spans="1:3" x14ac:dyDescent="0.25">
      <c r="A1652" t="s">
        <v>3779</v>
      </c>
      <c r="B1652">
        <v>0</v>
      </c>
      <c r="C1652">
        <v>6050</v>
      </c>
    </row>
    <row r="1653" spans="1:3" x14ac:dyDescent="0.25">
      <c r="A1653" t="s">
        <v>3780</v>
      </c>
      <c r="B1653">
        <v>0</v>
      </c>
      <c r="C1653">
        <v>0</v>
      </c>
    </row>
    <row r="1654" spans="1:3" x14ac:dyDescent="0.25">
      <c r="A1654" t="s">
        <v>3781</v>
      </c>
      <c r="B1654">
        <v>0</v>
      </c>
      <c r="C1654">
        <v>0</v>
      </c>
    </row>
    <row r="1655" spans="1:3" x14ac:dyDescent="0.25">
      <c r="A1655" t="s">
        <v>3782</v>
      </c>
      <c r="B1655">
        <v>0</v>
      </c>
      <c r="C1655">
        <v>0</v>
      </c>
    </row>
    <row r="1656" spans="1:3" x14ac:dyDescent="0.25">
      <c r="A1656" t="s">
        <v>3783</v>
      </c>
      <c r="B1656">
        <v>0</v>
      </c>
      <c r="C1656">
        <v>0</v>
      </c>
    </row>
    <row r="1657" spans="1:3" x14ac:dyDescent="0.25">
      <c r="A1657" t="s">
        <v>3784</v>
      </c>
      <c r="B1657">
        <v>0</v>
      </c>
      <c r="C1657">
        <v>0</v>
      </c>
    </row>
    <row r="1658" spans="1:3" x14ac:dyDescent="0.25">
      <c r="A1658" t="s">
        <v>3785</v>
      </c>
      <c r="B1658">
        <v>0</v>
      </c>
      <c r="C1658">
        <v>5100</v>
      </c>
    </row>
    <row r="1659" spans="1:3" x14ac:dyDescent="0.25">
      <c r="A1659" t="s">
        <v>3786</v>
      </c>
      <c r="B1659">
        <v>0</v>
      </c>
      <c r="C1659">
        <v>0</v>
      </c>
    </row>
    <row r="1660" spans="1:3" x14ac:dyDescent="0.25">
      <c r="A1660" t="s">
        <v>3787</v>
      </c>
      <c r="B1660">
        <v>0</v>
      </c>
      <c r="C1660">
        <v>0</v>
      </c>
    </row>
    <row r="1661" spans="1:3" x14ac:dyDescent="0.25">
      <c r="A1661" t="s">
        <v>3788</v>
      </c>
      <c r="B1661">
        <v>0</v>
      </c>
      <c r="C1661">
        <v>0</v>
      </c>
    </row>
    <row r="1662" spans="1:3" x14ac:dyDescent="0.25">
      <c r="A1662" t="s">
        <v>3789</v>
      </c>
      <c r="B1662">
        <v>0</v>
      </c>
      <c r="C1662">
        <v>5750</v>
      </c>
    </row>
    <row r="1663" spans="1:3" x14ac:dyDescent="0.25">
      <c r="A1663" t="s">
        <v>3790</v>
      </c>
      <c r="B1663">
        <v>0</v>
      </c>
      <c r="C1663">
        <v>3250</v>
      </c>
    </row>
    <row r="1664" spans="1:3" x14ac:dyDescent="0.25">
      <c r="A1664" t="s">
        <v>3791</v>
      </c>
      <c r="B1664">
        <v>0</v>
      </c>
      <c r="C1664">
        <v>3350</v>
      </c>
    </row>
    <row r="1665" spans="1:3" x14ac:dyDescent="0.25">
      <c r="A1665" t="s">
        <v>3792</v>
      </c>
      <c r="B1665">
        <v>0</v>
      </c>
      <c r="C1665">
        <v>4300</v>
      </c>
    </row>
    <row r="1666" spans="1:3" x14ac:dyDescent="0.25">
      <c r="A1666" t="s">
        <v>3793</v>
      </c>
      <c r="B1666">
        <v>4</v>
      </c>
      <c r="C1666">
        <v>9800</v>
      </c>
    </row>
    <row r="1667" spans="1:3" x14ac:dyDescent="0.25">
      <c r="A1667" t="s">
        <v>3794</v>
      </c>
      <c r="B1667">
        <v>0</v>
      </c>
      <c r="C1667">
        <v>19000</v>
      </c>
    </row>
    <row r="1668" spans="1:3" x14ac:dyDescent="0.25">
      <c r="A1668" t="s">
        <v>3795</v>
      </c>
      <c r="B1668">
        <v>0</v>
      </c>
      <c r="C1668">
        <v>6650</v>
      </c>
    </row>
    <row r="1669" spans="1:3" x14ac:dyDescent="0.25">
      <c r="A1669" t="s">
        <v>3796</v>
      </c>
      <c r="B1669">
        <v>0</v>
      </c>
      <c r="C1669">
        <v>6650</v>
      </c>
    </row>
    <row r="1670" spans="1:3" x14ac:dyDescent="0.25">
      <c r="A1670" t="s">
        <v>15</v>
      </c>
      <c r="B1670">
        <v>341</v>
      </c>
      <c r="C1670">
        <v>13850</v>
      </c>
    </row>
    <row r="1671" spans="1:3" x14ac:dyDescent="0.25">
      <c r="A1671" t="s">
        <v>3797</v>
      </c>
      <c r="B1671">
        <v>0</v>
      </c>
      <c r="C1671">
        <v>14000</v>
      </c>
    </row>
    <row r="1672" spans="1:3" x14ac:dyDescent="0.25">
      <c r="A1672" t="s">
        <v>3798</v>
      </c>
      <c r="B1672">
        <v>115</v>
      </c>
      <c r="C1672">
        <v>6950</v>
      </c>
    </row>
    <row r="1673" spans="1:3" x14ac:dyDescent="0.25">
      <c r="A1673" t="s">
        <v>3799</v>
      </c>
      <c r="B1673">
        <v>0</v>
      </c>
      <c r="C1673">
        <v>16800</v>
      </c>
    </row>
    <row r="1674" spans="1:3" x14ac:dyDescent="0.25">
      <c r="A1674" t="s">
        <v>3800</v>
      </c>
      <c r="B1674">
        <v>0</v>
      </c>
      <c r="C1674">
        <v>2700</v>
      </c>
    </row>
    <row r="1675" spans="1:3" x14ac:dyDescent="0.25">
      <c r="A1675" t="s">
        <v>3801</v>
      </c>
      <c r="B1675">
        <v>0</v>
      </c>
      <c r="C1675">
        <v>0</v>
      </c>
    </row>
    <row r="1676" spans="1:3" x14ac:dyDescent="0.25">
      <c r="A1676" t="s">
        <v>3802</v>
      </c>
      <c r="B1676">
        <v>0</v>
      </c>
      <c r="C1676">
        <v>7350</v>
      </c>
    </row>
    <row r="1677" spans="1:3" x14ac:dyDescent="0.25">
      <c r="A1677" t="s">
        <v>3803</v>
      </c>
      <c r="B1677">
        <v>0</v>
      </c>
      <c r="C1677">
        <v>170</v>
      </c>
    </row>
    <row r="1678" spans="1:3" x14ac:dyDescent="0.25">
      <c r="A1678" t="s">
        <v>3804</v>
      </c>
      <c r="B1678">
        <v>0</v>
      </c>
      <c r="C1678">
        <v>550</v>
      </c>
    </row>
    <row r="1679" spans="1:3" x14ac:dyDescent="0.25">
      <c r="A1679" t="s">
        <v>3805</v>
      </c>
      <c r="B1679">
        <v>0</v>
      </c>
      <c r="C1679">
        <v>4600</v>
      </c>
    </row>
    <row r="1680" spans="1:3" x14ac:dyDescent="0.25">
      <c r="A1680" t="s">
        <v>3806</v>
      </c>
      <c r="B1680">
        <v>0</v>
      </c>
      <c r="C1680">
        <v>7400</v>
      </c>
    </row>
    <row r="1681" spans="1:3" x14ac:dyDescent="0.25">
      <c r="A1681" t="s">
        <v>3807</v>
      </c>
      <c r="B1681">
        <v>0</v>
      </c>
      <c r="C1681">
        <v>0</v>
      </c>
    </row>
    <row r="1682" spans="1:3" x14ac:dyDescent="0.25">
      <c r="A1682" t="s">
        <v>3808</v>
      </c>
      <c r="B1682">
        <v>0</v>
      </c>
      <c r="C1682">
        <v>0</v>
      </c>
    </row>
    <row r="1683" spans="1:3" x14ac:dyDescent="0.25">
      <c r="A1683" t="s">
        <v>3809</v>
      </c>
      <c r="B1683">
        <v>0</v>
      </c>
      <c r="C1683">
        <v>3850</v>
      </c>
    </row>
    <row r="1684" spans="1:3" x14ac:dyDescent="0.25">
      <c r="A1684" t="s">
        <v>3810</v>
      </c>
      <c r="B1684">
        <v>0</v>
      </c>
      <c r="C1684">
        <v>7100</v>
      </c>
    </row>
    <row r="1685" spans="1:3" x14ac:dyDescent="0.25">
      <c r="A1685" t="s">
        <v>3811</v>
      </c>
      <c r="B1685">
        <v>0</v>
      </c>
      <c r="C1685">
        <v>7900</v>
      </c>
    </row>
    <row r="1686" spans="1:3" x14ac:dyDescent="0.25">
      <c r="A1686" t="s">
        <v>3812</v>
      </c>
      <c r="B1686">
        <v>0</v>
      </c>
      <c r="C1686">
        <v>58950</v>
      </c>
    </row>
    <row r="1687" spans="1:3" x14ac:dyDescent="0.25">
      <c r="A1687" t="s">
        <v>3813</v>
      </c>
      <c r="B1687">
        <v>0</v>
      </c>
      <c r="C1687">
        <v>160</v>
      </c>
    </row>
    <row r="1688" spans="1:3" x14ac:dyDescent="0.25">
      <c r="A1688" t="s">
        <v>3814</v>
      </c>
      <c r="B1688">
        <v>0</v>
      </c>
      <c r="C1688">
        <v>150</v>
      </c>
    </row>
    <row r="1689" spans="1:3" x14ac:dyDescent="0.25">
      <c r="A1689" t="s">
        <v>3815</v>
      </c>
      <c r="B1689">
        <v>0</v>
      </c>
      <c r="C1689">
        <v>5750</v>
      </c>
    </row>
    <row r="1690" spans="1:3" x14ac:dyDescent="0.25">
      <c r="A1690" t="s">
        <v>3816</v>
      </c>
      <c r="B1690">
        <v>350</v>
      </c>
      <c r="C1690">
        <v>2000</v>
      </c>
    </row>
    <row r="1691" spans="1:3" x14ac:dyDescent="0.25">
      <c r="A1691" t="s">
        <v>3817</v>
      </c>
      <c r="B1691">
        <v>49</v>
      </c>
      <c r="C1691">
        <v>28000</v>
      </c>
    </row>
    <row r="1692" spans="1:3" x14ac:dyDescent="0.25">
      <c r="A1692" t="s">
        <v>3818</v>
      </c>
      <c r="B1692">
        <v>0</v>
      </c>
      <c r="C1692">
        <v>500</v>
      </c>
    </row>
    <row r="1693" spans="1:3" x14ac:dyDescent="0.25">
      <c r="A1693" t="s">
        <v>3819</v>
      </c>
      <c r="B1693">
        <v>0</v>
      </c>
      <c r="C1693">
        <v>5100</v>
      </c>
    </row>
    <row r="1694" spans="1:3" x14ac:dyDescent="0.25">
      <c r="A1694" t="s">
        <v>3820</v>
      </c>
      <c r="B1694">
        <v>0</v>
      </c>
      <c r="C1694">
        <v>16500</v>
      </c>
    </row>
    <row r="1695" spans="1:3" x14ac:dyDescent="0.25">
      <c r="A1695" t="s">
        <v>3821</v>
      </c>
      <c r="B1695">
        <v>0</v>
      </c>
      <c r="C1695">
        <v>2320</v>
      </c>
    </row>
    <row r="1696" spans="1:3" x14ac:dyDescent="0.25">
      <c r="A1696" t="s">
        <v>3822</v>
      </c>
      <c r="B1696">
        <v>0</v>
      </c>
      <c r="C1696">
        <v>10400</v>
      </c>
    </row>
    <row r="1697" spans="1:3" x14ac:dyDescent="0.25">
      <c r="A1697" t="s">
        <v>3823</v>
      </c>
      <c r="B1697">
        <v>0</v>
      </c>
      <c r="C1697">
        <v>1800</v>
      </c>
    </row>
    <row r="1698" spans="1:3" x14ac:dyDescent="0.25">
      <c r="A1698" t="s">
        <v>3824</v>
      </c>
      <c r="B1698">
        <v>148</v>
      </c>
      <c r="C1698">
        <v>5300</v>
      </c>
    </row>
    <row r="1699" spans="1:3" x14ac:dyDescent="0.25">
      <c r="A1699" t="s">
        <v>3825</v>
      </c>
      <c r="B1699">
        <v>360</v>
      </c>
      <c r="C1699">
        <v>1360</v>
      </c>
    </row>
    <row r="1700" spans="1:3" x14ac:dyDescent="0.25">
      <c r="A1700" t="s">
        <v>3826</v>
      </c>
      <c r="B1700">
        <v>0</v>
      </c>
      <c r="C1700">
        <v>2300</v>
      </c>
    </row>
    <row r="1701" spans="1:3" x14ac:dyDescent="0.25">
      <c r="A1701" t="s">
        <v>3827</v>
      </c>
      <c r="B1701">
        <v>0</v>
      </c>
      <c r="C1701">
        <v>4550</v>
      </c>
    </row>
    <row r="1702" spans="1:3" x14ac:dyDescent="0.25">
      <c r="A1702" t="s">
        <v>3828</v>
      </c>
      <c r="B1702">
        <v>0</v>
      </c>
      <c r="C1702">
        <v>15450</v>
      </c>
    </row>
    <row r="1703" spans="1:3" x14ac:dyDescent="0.25">
      <c r="A1703" t="s">
        <v>3829</v>
      </c>
      <c r="B1703">
        <v>0</v>
      </c>
      <c r="C1703">
        <v>6750</v>
      </c>
    </row>
    <row r="1704" spans="1:3" x14ac:dyDescent="0.25">
      <c r="A1704" t="s">
        <v>3830</v>
      </c>
      <c r="B1704">
        <v>0</v>
      </c>
      <c r="C1704">
        <v>1050</v>
      </c>
    </row>
    <row r="1705" spans="1:3" x14ac:dyDescent="0.25">
      <c r="A1705" t="s">
        <v>3831</v>
      </c>
      <c r="B1705">
        <v>337</v>
      </c>
      <c r="C1705">
        <v>3200</v>
      </c>
    </row>
    <row r="1706" spans="1:3" x14ac:dyDescent="0.25">
      <c r="A1706" t="s">
        <v>3832</v>
      </c>
      <c r="B1706">
        <v>0</v>
      </c>
      <c r="C1706">
        <v>1</v>
      </c>
    </row>
    <row r="1707" spans="1:3" x14ac:dyDescent="0.25">
      <c r="A1707" t="s">
        <v>3833</v>
      </c>
      <c r="B1707">
        <v>0</v>
      </c>
      <c r="C1707">
        <v>21000</v>
      </c>
    </row>
    <row r="1708" spans="1:3" x14ac:dyDescent="0.25">
      <c r="A1708" t="s">
        <v>3834</v>
      </c>
      <c r="B1708">
        <v>0</v>
      </c>
      <c r="C1708">
        <v>1</v>
      </c>
    </row>
    <row r="1709" spans="1:3" x14ac:dyDescent="0.25">
      <c r="A1709" t="s">
        <v>3835</v>
      </c>
      <c r="B1709">
        <v>9</v>
      </c>
      <c r="C1709">
        <v>900</v>
      </c>
    </row>
    <row r="1710" spans="1:3" x14ac:dyDescent="0.25">
      <c r="A1710" t="s">
        <v>3836</v>
      </c>
      <c r="B1710">
        <v>1</v>
      </c>
      <c r="C1710">
        <v>6000</v>
      </c>
    </row>
    <row r="1711" spans="1:3" x14ac:dyDescent="0.25">
      <c r="A1711" t="s">
        <v>3837</v>
      </c>
      <c r="B1711">
        <v>0</v>
      </c>
      <c r="C1711">
        <v>10250</v>
      </c>
    </row>
    <row r="1712" spans="1:3" x14ac:dyDescent="0.25">
      <c r="A1712" t="s">
        <v>3838</v>
      </c>
      <c r="B1712">
        <v>0</v>
      </c>
      <c r="C1712">
        <v>4150</v>
      </c>
    </row>
    <row r="1713" spans="1:3" x14ac:dyDescent="0.25">
      <c r="A1713" t="s">
        <v>3839</v>
      </c>
      <c r="B1713">
        <v>0</v>
      </c>
      <c r="C1713">
        <v>6100</v>
      </c>
    </row>
    <row r="1714" spans="1:3" x14ac:dyDescent="0.25">
      <c r="A1714" t="s">
        <v>3840</v>
      </c>
      <c r="B1714">
        <v>0</v>
      </c>
      <c r="C1714">
        <v>2650</v>
      </c>
    </row>
    <row r="1715" spans="1:3" x14ac:dyDescent="0.25">
      <c r="A1715" t="s">
        <v>3841</v>
      </c>
      <c r="B1715">
        <v>0</v>
      </c>
      <c r="C1715">
        <v>12900</v>
      </c>
    </row>
    <row r="1716" spans="1:3" x14ac:dyDescent="0.25">
      <c r="A1716" t="s">
        <v>3842</v>
      </c>
      <c r="B1716">
        <v>0</v>
      </c>
      <c r="C1716">
        <v>7950</v>
      </c>
    </row>
    <row r="1717" spans="1:3" x14ac:dyDescent="0.25">
      <c r="A1717" t="s">
        <v>3843</v>
      </c>
      <c r="B1717">
        <v>1732</v>
      </c>
      <c r="C1717">
        <v>1800</v>
      </c>
    </row>
    <row r="1718" spans="1:3" x14ac:dyDescent="0.25">
      <c r="A1718" t="s">
        <v>3844</v>
      </c>
      <c r="B1718">
        <v>1</v>
      </c>
      <c r="C1718">
        <v>190</v>
      </c>
    </row>
    <row r="1719" spans="1:3" x14ac:dyDescent="0.25">
      <c r="A1719" t="s">
        <v>3845</v>
      </c>
      <c r="B1719">
        <v>0</v>
      </c>
      <c r="C1719">
        <v>350</v>
      </c>
    </row>
    <row r="1720" spans="1:3" x14ac:dyDescent="0.25">
      <c r="A1720" t="s">
        <v>3846</v>
      </c>
      <c r="B1720">
        <v>0</v>
      </c>
      <c r="C1720">
        <v>410</v>
      </c>
    </row>
    <row r="1721" spans="1:3" x14ac:dyDescent="0.25">
      <c r="A1721" t="s">
        <v>3847</v>
      </c>
      <c r="B1721">
        <v>0</v>
      </c>
      <c r="C1721">
        <v>1300</v>
      </c>
    </row>
    <row r="1722" spans="1:3" x14ac:dyDescent="0.25">
      <c r="A1722" t="s">
        <v>3848</v>
      </c>
      <c r="B1722">
        <v>0</v>
      </c>
      <c r="C1722">
        <v>450</v>
      </c>
    </row>
    <row r="1723" spans="1:3" x14ac:dyDescent="0.25">
      <c r="A1723" t="s">
        <v>3849</v>
      </c>
      <c r="B1723">
        <v>0</v>
      </c>
      <c r="C1723">
        <v>450</v>
      </c>
    </row>
    <row r="1724" spans="1:3" x14ac:dyDescent="0.25">
      <c r="A1724" t="s">
        <v>3850</v>
      </c>
      <c r="B1724">
        <v>0</v>
      </c>
      <c r="C1724">
        <v>3400</v>
      </c>
    </row>
    <row r="1725" spans="1:3" x14ac:dyDescent="0.25">
      <c r="A1725" t="s">
        <v>3851</v>
      </c>
      <c r="B1725">
        <v>627.9</v>
      </c>
      <c r="C1725">
        <v>2350</v>
      </c>
    </row>
    <row r="1726" spans="1:3" x14ac:dyDescent="0.25">
      <c r="A1726" t="s">
        <v>3852</v>
      </c>
      <c r="B1726">
        <v>0</v>
      </c>
      <c r="C1726">
        <v>3650</v>
      </c>
    </row>
    <row r="1727" spans="1:3" x14ac:dyDescent="0.25">
      <c r="A1727" t="s">
        <v>3853</v>
      </c>
      <c r="B1727">
        <v>0</v>
      </c>
      <c r="C1727">
        <v>6550</v>
      </c>
    </row>
    <row r="1728" spans="1:3" x14ac:dyDescent="0.25">
      <c r="A1728" t="s">
        <v>3854</v>
      </c>
      <c r="B1728">
        <v>0</v>
      </c>
      <c r="C1728">
        <v>6550</v>
      </c>
    </row>
    <row r="1729" spans="1:3" x14ac:dyDescent="0.25">
      <c r="A1729" t="s">
        <v>3855</v>
      </c>
      <c r="B1729">
        <v>0</v>
      </c>
      <c r="C1729">
        <v>3600</v>
      </c>
    </row>
    <row r="1730" spans="1:3" x14ac:dyDescent="0.25">
      <c r="A1730" t="s">
        <v>3856</v>
      </c>
      <c r="B1730">
        <v>0</v>
      </c>
      <c r="C1730">
        <v>4150</v>
      </c>
    </row>
    <row r="1731" spans="1:3" x14ac:dyDescent="0.25">
      <c r="A1731" t="s">
        <v>3857</v>
      </c>
      <c r="B1731">
        <v>0</v>
      </c>
      <c r="C1731">
        <v>1</v>
      </c>
    </row>
    <row r="1732" spans="1:3" x14ac:dyDescent="0.25">
      <c r="A1732" t="s">
        <v>3858</v>
      </c>
      <c r="B1732">
        <v>76</v>
      </c>
      <c r="C1732">
        <v>1</v>
      </c>
    </row>
    <row r="1733" spans="1:3" x14ac:dyDescent="0.25">
      <c r="A1733" t="s">
        <v>3859</v>
      </c>
      <c r="B1733">
        <v>0</v>
      </c>
      <c r="C1733">
        <v>1</v>
      </c>
    </row>
    <row r="1734" spans="1:3" x14ac:dyDescent="0.25">
      <c r="A1734" t="s">
        <v>3860</v>
      </c>
      <c r="B1734">
        <v>0</v>
      </c>
      <c r="C1734">
        <v>8450</v>
      </c>
    </row>
    <row r="1735" spans="1:3" x14ac:dyDescent="0.25">
      <c r="A1735" t="s">
        <v>3861</v>
      </c>
      <c r="B1735">
        <v>0</v>
      </c>
      <c r="C1735">
        <v>20000</v>
      </c>
    </row>
    <row r="1736" spans="1:3" x14ac:dyDescent="0.25">
      <c r="A1736" t="s">
        <v>3862</v>
      </c>
      <c r="B1736">
        <v>0</v>
      </c>
      <c r="C1736">
        <v>11150</v>
      </c>
    </row>
    <row r="1737" spans="1:3" x14ac:dyDescent="0.25">
      <c r="A1737" t="s">
        <v>3863</v>
      </c>
      <c r="B1737">
        <v>2</v>
      </c>
      <c r="C1737">
        <v>2400</v>
      </c>
    </row>
    <row r="1738" spans="1:3" x14ac:dyDescent="0.25">
      <c r="A1738" t="s">
        <v>3864</v>
      </c>
      <c r="B1738">
        <v>0</v>
      </c>
      <c r="C1738">
        <v>4850</v>
      </c>
    </row>
    <row r="1739" spans="1:3" x14ac:dyDescent="0.25">
      <c r="A1739" t="s">
        <v>3865</v>
      </c>
      <c r="B1739">
        <v>0</v>
      </c>
      <c r="C1739">
        <v>0</v>
      </c>
    </row>
    <row r="1740" spans="1:3" x14ac:dyDescent="0.25">
      <c r="A1740" t="s">
        <v>3866</v>
      </c>
      <c r="B1740">
        <v>0</v>
      </c>
      <c r="C1740">
        <v>0</v>
      </c>
    </row>
    <row r="1741" spans="1:3" x14ac:dyDescent="0.25">
      <c r="A1741" t="s">
        <v>3867</v>
      </c>
      <c r="B1741">
        <v>0</v>
      </c>
      <c r="C1741">
        <v>6000</v>
      </c>
    </row>
    <row r="1742" spans="1:3" x14ac:dyDescent="0.25">
      <c r="A1742" t="s">
        <v>3868</v>
      </c>
      <c r="B1742">
        <v>0</v>
      </c>
      <c r="C1742">
        <v>25000</v>
      </c>
    </row>
    <row r="1743" spans="1:3" x14ac:dyDescent="0.25">
      <c r="A1743" t="s">
        <v>3869</v>
      </c>
      <c r="B1743">
        <v>2747.8</v>
      </c>
      <c r="C1743">
        <v>2500</v>
      </c>
    </row>
    <row r="1744" spans="1:3" x14ac:dyDescent="0.25">
      <c r="A1744" t="s">
        <v>3870</v>
      </c>
      <c r="B1744">
        <v>0</v>
      </c>
      <c r="C1744">
        <v>1950</v>
      </c>
    </row>
    <row r="1745" spans="1:3" x14ac:dyDescent="0.25">
      <c r="A1745" t="s">
        <v>3871</v>
      </c>
      <c r="B1745">
        <v>0</v>
      </c>
      <c r="C1745">
        <v>11850</v>
      </c>
    </row>
    <row r="1746" spans="1:3" x14ac:dyDescent="0.25">
      <c r="A1746" t="s">
        <v>3872</v>
      </c>
      <c r="B1746">
        <v>0</v>
      </c>
      <c r="C1746">
        <v>15750</v>
      </c>
    </row>
    <row r="1747" spans="1:3" x14ac:dyDescent="0.25">
      <c r="A1747" t="s">
        <v>3873</v>
      </c>
      <c r="B1747">
        <v>0</v>
      </c>
      <c r="C1747">
        <v>4850</v>
      </c>
    </row>
    <row r="1748" spans="1:3" x14ac:dyDescent="0.25">
      <c r="A1748" t="s">
        <v>3874</v>
      </c>
      <c r="B1748">
        <v>0</v>
      </c>
      <c r="C1748">
        <v>3600</v>
      </c>
    </row>
    <row r="1749" spans="1:3" x14ac:dyDescent="0.25">
      <c r="A1749" t="s">
        <v>3875</v>
      </c>
      <c r="B1749">
        <v>39</v>
      </c>
      <c r="C1749">
        <v>8300</v>
      </c>
    </row>
    <row r="1750" spans="1:3" x14ac:dyDescent="0.25">
      <c r="A1750" t="s">
        <v>3876</v>
      </c>
      <c r="B1750">
        <v>258</v>
      </c>
      <c r="C1750">
        <v>4400</v>
      </c>
    </row>
    <row r="1751" spans="1:3" x14ac:dyDescent="0.25">
      <c r="A1751" t="s">
        <v>3877</v>
      </c>
      <c r="B1751">
        <v>0</v>
      </c>
      <c r="C1751">
        <v>3600</v>
      </c>
    </row>
    <row r="1752" spans="1:3" x14ac:dyDescent="0.25">
      <c r="A1752" t="s">
        <v>3878</v>
      </c>
      <c r="B1752">
        <v>0</v>
      </c>
      <c r="C1752">
        <v>1650</v>
      </c>
    </row>
    <row r="1753" spans="1:3" x14ac:dyDescent="0.25">
      <c r="A1753" t="s">
        <v>13</v>
      </c>
      <c r="B1753">
        <v>730</v>
      </c>
      <c r="C1753">
        <v>160</v>
      </c>
    </row>
    <row r="1754" spans="1:3" x14ac:dyDescent="0.25">
      <c r="A1754" t="s">
        <v>3879</v>
      </c>
      <c r="B1754">
        <v>0</v>
      </c>
      <c r="C1754">
        <v>750</v>
      </c>
    </row>
    <row r="1755" spans="1:3" x14ac:dyDescent="0.25">
      <c r="A1755" t="s">
        <v>3880</v>
      </c>
      <c r="B1755">
        <v>0</v>
      </c>
      <c r="C1755">
        <v>120</v>
      </c>
    </row>
    <row r="1756" spans="1:3" x14ac:dyDescent="0.25">
      <c r="A1756" t="s">
        <v>3881</v>
      </c>
      <c r="B1756">
        <v>0</v>
      </c>
      <c r="C1756">
        <v>190</v>
      </c>
    </row>
    <row r="1757" spans="1:3" x14ac:dyDescent="0.25">
      <c r="A1757" t="s">
        <v>3882</v>
      </c>
      <c r="B1757">
        <v>0</v>
      </c>
      <c r="C1757">
        <v>9900</v>
      </c>
    </row>
    <row r="1758" spans="1:3" x14ac:dyDescent="0.25">
      <c r="A1758" t="s">
        <v>3883</v>
      </c>
      <c r="B1758">
        <v>0</v>
      </c>
      <c r="C1758">
        <v>1300</v>
      </c>
    </row>
    <row r="1759" spans="1:3" x14ac:dyDescent="0.25">
      <c r="A1759" t="s">
        <v>3884</v>
      </c>
      <c r="B1759">
        <v>0</v>
      </c>
      <c r="C1759">
        <v>800</v>
      </c>
    </row>
    <row r="1760" spans="1:3" x14ac:dyDescent="0.25">
      <c r="A1760" t="s">
        <v>3885</v>
      </c>
      <c r="B1760">
        <v>0</v>
      </c>
      <c r="C1760">
        <v>725</v>
      </c>
    </row>
    <row r="1761" spans="1:3" x14ac:dyDescent="0.25">
      <c r="A1761" t="s">
        <v>3886</v>
      </c>
      <c r="B1761">
        <v>8</v>
      </c>
      <c r="C1761">
        <v>7800</v>
      </c>
    </row>
    <row r="1762" spans="1:3" x14ac:dyDescent="0.25">
      <c r="A1762" t="s">
        <v>3887</v>
      </c>
      <c r="B1762">
        <v>0</v>
      </c>
      <c r="C1762">
        <v>4100</v>
      </c>
    </row>
    <row r="1763" spans="1:3" x14ac:dyDescent="0.25">
      <c r="A1763" t="s">
        <v>3888</v>
      </c>
      <c r="B1763">
        <v>0</v>
      </c>
      <c r="C1763">
        <v>7450</v>
      </c>
    </row>
    <row r="1764" spans="1:3" x14ac:dyDescent="0.25">
      <c r="A1764" t="s">
        <v>3889</v>
      </c>
      <c r="B1764">
        <v>0</v>
      </c>
      <c r="C1764">
        <v>650</v>
      </c>
    </row>
    <row r="1765" spans="1:3" x14ac:dyDescent="0.25">
      <c r="A1765" t="s">
        <v>3890</v>
      </c>
      <c r="B1765">
        <v>0</v>
      </c>
      <c r="C1765">
        <v>10300</v>
      </c>
    </row>
    <row r="1766" spans="1:3" x14ac:dyDescent="0.25">
      <c r="A1766" t="s">
        <v>3891</v>
      </c>
      <c r="B1766">
        <v>0</v>
      </c>
      <c r="C1766">
        <v>15500</v>
      </c>
    </row>
    <row r="1767" spans="1:3" x14ac:dyDescent="0.25">
      <c r="A1767" t="s">
        <v>3892</v>
      </c>
      <c r="B1767">
        <v>0</v>
      </c>
      <c r="C1767">
        <v>150</v>
      </c>
    </row>
    <row r="1768" spans="1:3" x14ac:dyDescent="0.25">
      <c r="A1768" t="s">
        <v>3893</v>
      </c>
      <c r="B1768">
        <v>0</v>
      </c>
      <c r="C1768">
        <v>1250</v>
      </c>
    </row>
    <row r="1769" spans="1:3" x14ac:dyDescent="0.25">
      <c r="A1769" t="s">
        <v>3894</v>
      </c>
      <c r="B1769">
        <v>0</v>
      </c>
      <c r="C1769">
        <v>10600</v>
      </c>
    </row>
    <row r="1770" spans="1:3" x14ac:dyDescent="0.25">
      <c r="A1770" t="s">
        <v>3895</v>
      </c>
      <c r="B1770">
        <v>0</v>
      </c>
      <c r="C1770">
        <v>1850</v>
      </c>
    </row>
    <row r="1771" spans="1:3" x14ac:dyDescent="0.25">
      <c r="A1771" t="s">
        <v>3896</v>
      </c>
      <c r="B1771">
        <v>0</v>
      </c>
      <c r="C1771">
        <v>6050</v>
      </c>
    </row>
    <row r="1772" spans="1:3" x14ac:dyDescent="0.25">
      <c r="A1772" t="s">
        <v>12</v>
      </c>
      <c r="B1772">
        <v>20</v>
      </c>
      <c r="C1772">
        <v>18300</v>
      </c>
    </row>
    <row r="1773" spans="1:3" x14ac:dyDescent="0.25">
      <c r="A1773" t="s">
        <v>3897</v>
      </c>
      <c r="B1773">
        <v>0</v>
      </c>
      <c r="C1773">
        <v>1200</v>
      </c>
    </row>
    <row r="1774" spans="1:3" x14ac:dyDescent="0.25">
      <c r="A1774" t="s">
        <v>3898</v>
      </c>
      <c r="B1774">
        <v>0</v>
      </c>
      <c r="C1774">
        <v>0</v>
      </c>
    </row>
    <row r="1775" spans="1:3" x14ac:dyDescent="0.25">
      <c r="A1775" t="s">
        <v>3899</v>
      </c>
      <c r="B1775">
        <v>0</v>
      </c>
      <c r="C1775">
        <v>6650</v>
      </c>
    </row>
    <row r="1776" spans="1:3" x14ac:dyDescent="0.25">
      <c r="A1776" t="s">
        <v>3900</v>
      </c>
      <c r="B1776">
        <v>0</v>
      </c>
      <c r="C1776">
        <v>6300</v>
      </c>
    </row>
    <row r="1777" spans="1:3" x14ac:dyDescent="0.25">
      <c r="A1777" t="s">
        <v>3901</v>
      </c>
      <c r="B1777">
        <v>0</v>
      </c>
      <c r="C1777">
        <v>14000</v>
      </c>
    </row>
    <row r="1778" spans="1:3" x14ac:dyDescent="0.25">
      <c r="A1778" t="s">
        <v>3902</v>
      </c>
      <c r="B1778">
        <v>0</v>
      </c>
      <c r="C1778">
        <v>4150</v>
      </c>
    </row>
    <row r="1779" spans="1:3" x14ac:dyDescent="0.25">
      <c r="A1779" t="s">
        <v>3903</v>
      </c>
      <c r="B1779">
        <v>0</v>
      </c>
      <c r="C1779">
        <v>19000</v>
      </c>
    </row>
    <row r="1780" spans="1:3" x14ac:dyDescent="0.25">
      <c r="A1780" t="s">
        <v>3904</v>
      </c>
      <c r="B1780">
        <v>0</v>
      </c>
      <c r="C1780">
        <v>11300</v>
      </c>
    </row>
    <row r="1781" spans="1:3" x14ac:dyDescent="0.25">
      <c r="A1781" t="s">
        <v>3905</v>
      </c>
      <c r="B1781">
        <v>0</v>
      </c>
      <c r="C1781">
        <v>6150</v>
      </c>
    </row>
    <row r="1782" spans="1:3" x14ac:dyDescent="0.25">
      <c r="A1782" t="s">
        <v>3906</v>
      </c>
      <c r="B1782">
        <v>846</v>
      </c>
      <c r="C1782">
        <v>2200</v>
      </c>
    </row>
    <row r="1783" spans="1:3" x14ac:dyDescent="0.25">
      <c r="A1783" t="s">
        <v>3907</v>
      </c>
      <c r="B1783">
        <v>0</v>
      </c>
      <c r="C1783">
        <v>31000</v>
      </c>
    </row>
    <row r="1784" spans="1:3" x14ac:dyDescent="0.25">
      <c r="A1784" t="s">
        <v>3908</v>
      </c>
      <c r="B1784">
        <v>0</v>
      </c>
      <c r="C1784">
        <v>3250</v>
      </c>
    </row>
    <row r="1785" spans="1:3" x14ac:dyDescent="0.25">
      <c r="A1785" t="s">
        <v>3909</v>
      </c>
      <c r="B1785">
        <v>0</v>
      </c>
      <c r="C1785">
        <v>870</v>
      </c>
    </row>
    <row r="1786" spans="1:3" x14ac:dyDescent="0.25">
      <c r="A1786" t="s">
        <v>3910</v>
      </c>
      <c r="B1786">
        <v>0</v>
      </c>
      <c r="C1786">
        <v>6050</v>
      </c>
    </row>
    <row r="1787" spans="1:3" x14ac:dyDescent="0.25">
      <c r="A1787" t="s">
        <v>70</v>
      </c>
      <c r="B1787">
        <v>3611</v>
      </c>
      <c r="C1787">
        <v>1200</v>
      </c>
    </row>
    <row r="1788" spans="1:3" x14ac:dyDescent="0.25">
      <c r="A1788" t="s">
        <v>3911</v>
      </c>
      <c r="B1788">
        <v>0</v>
      </c>
      <c r="C1788">
        <v>1150</v>
      </c>
    </row>
    <row r="1789" spans="1:3" x14ac:dyDescent="0.25">
      <c r="A1789" t="s">
        <v>3912</v>
      </c>
      <c r="B1789">
        <v>0</v>
      </c>
      <c r="C1789">
        <v>350</v>
      </c>
    </row>
    <row r="1790" spans="1:3" x14ac:dyDescent="0.25">
      <c r="A1790" t="s">
        <v>3913</v>
      </c>
      <c r="B1790">
        <v>5</v>
      </c>
      <c r="C1790">
        <v>3000</v>
      </c>
    </row>
    <row r="1791" spans="1:3" x14ac:dyDescent="0.25">
      <c r="A1791" t="s">
        <v>3914</v>
      </c>
      <c r="B1791">
        <v>558</v>
      </c>
      <c r="C1791">
        <v>10150</v>
      </c>
    </row>
    <row r="1792" spans="1:3" x14ac:dyDescent="0.25">
      <c r="A1792" t="s">
        <v>3915</v>
      </c>
      <c r="B1792">
        <v>0</v>
      </c>
      <c r="C1792">
        <v>3450</v>
      </c>
    </row>
    <row r="1793" spans="1:3" x14ac:dyDescent="0.25">
      <c r="A1793" t="s">
        <v>3916</v>
      </c>
      <c r="B1793">
        <v>6730</v>
      </c>
      <c r="C1793">
        <v>80</v>
      </c>
    </row>
    <row r="1794" spans="1:3" x14ac:dyDescent="0.25">
      <c r="A1794" t="s">
        <v>3917</v>
      </c>
      <c r="B1794">
        <v>0</v>
      </c>
      <c r="C1794">
        <v>1700</v>
      </c>
    </row>
    <row r="1795" spans="1:3" x14ac:dyDescent="0.25">
      <c r="A1795" t="s">
        <v>3918</v>
      </c>
      <c r="B1795">
        <v>0</v>
      </c>
      <c r="C1795">
        <v>5350</v>
      </c>
    </row>
    <row r="1796" spans="1:3" x14ac:dyDescent="0.25">
      <c r="A1796" t="s">
        <v>3919</v>
      </c>
      <c r="B1796">
        <v>0</v>
      </c>
      <c r="C1796">
        <v>5450</v>
      </c>
    </row>
    <row r="1797" spans="1:3" x14ac:dyDescent="0.25">
      <c r="A1797" t="s">
        <v>3920</v>
      </c>
      <c r="B1797">
        <v>0</v>
      </c>
      <c r="C1797">
        <v>400</v>
      </c>
    </row>
    <row r="1798" spans="1:3" x14ac:dyDescent="0.25">
      <c r="A1798" t="s">
        <v>3921</v>
      </c>
      <c r="B1798">
        <v>0</v>
      </c>
      <c r="C1798">
        <v>600</v>
      </c>
    </row>
    <row r="1799" spans="1:3" x14ac:dyDescent="0.25">
      <c r="A1799" t="s">
        <v>3922</v>
      </c>
      <c r="B1799">
        <v>0</v>
      </c>
      <c r="C1799">
        <v>6650</v>
      </c>
    </row>
    <row r="1800" spans="1:3" x14ac:dyDescent="0.25">
      <c r="A1800" t="s">
        <v>3923</v>
      </c>
      <c r="B1800">
        <v>1</v>
      </c>
      <c r="C1800">
        <v>6050</v>
      </c>
    </row>
    <row r="1801" spans="1:3" x14ac:dyDescent="0.25">
      <c r="A1801" t="s">
        <v>10</v>
      </c>
      <c r="B1801">
        <v>366</v>
      </c>
      <c r="C1801">
        <v>6000</v>
      </c>
    </row>
    <row r="1802" spans="1:3" x14ac:dyDescent="0.25">
      <c r="A1802" t="s">
        <v>3924</v>
      </c>
      <c r="B1802">
        <v>0</v>
      </c>
      <c r="C1802">
        <v>1650</v>
      </c>
    </row>
    <row r="1803" spans="1:3" x14ac:dyDescent="0.25">
      <c r="A1803" t="s">
        <v>3925</v>
      </c>
      <c r="B1803">
        <v>0</v>
      </c>
      <c r="C1803">
        <v>3150</v>
      </c>
    </row>
    <row r="1804" spans="1:3" x14ac:dyDescent="0.25">
      <c r="A1804" t="s">
        <v>3926</v>
      </c>
      <c r="B1804">
        <v>3532</v>
      </c>
      <c r="C1804">
        <v>1360</v>
      </c>
    </row>
    <row r="1805" spans="1:3" x14ac:dyDescent="0.25">
      <c r="A1805" t="s">
        <v>3927</v>
      </c>
      <c r="B1805">
        <v>0</v>
      </c>
      <c r="C1805">
        <v>8950</v>
      </c>
    </row>
    <row r="1806" spans="1:3" x14ac:dyDescent="0.25">
      <c r="A1806" t="s">
        <v>3928</v>
      </c>
      <c r="B1806">
        <v>0</v>
      </c>
      <c r="C1806">
        <v>27000</v>
      </c>
    </row>
    <row r="1807" spans="1:3" x14ac:dyDescent="0.25">
      <c r="A1807" t="s">
        <v>73</v>
      </c>
      <c r="B1807">
        <v>108</v>
      </c>
      <c r="C1807">
        <v>3600</v>
      </c>
    </row>
    <row r="1808" spans="1:3" x14ac:dyDescent="0.25">
      <c r="A1808" t="s">
        <v>3929</v>
      </c>
      <c r="B1808">
        <v>1350</v>
      </c>
      <c r="C1808">
        <v>1900</v>
      </c>
    </row>
    <row r="1809" spans="1:3" x14ac:dyDescent="0.25">
      <c r="A1809" t="s">
        <v>3930</v>
      </c>
      <c r="B1809">
        <v>0</v>
      </c>
      <c r="C1809">
        <v>235</v>
      </c>
    </row>
    <row r="1810" spans="1:3" x14ac:dyDescent="0.25">
      <c r="A1810" t="s">
        <v>3931</v>
      </c>
      <c r="B1810">
        <v>0</v>
      </c>
      <c r="C1810">
        <v>1</v>
      </c>
    </row>
    <row r="1811" spans="1:3" x14ac:dyDescent="0.25">
      <c r="A1811" t="s">
        <v>3932</v>
      </c>
      <c r="B1811">
        <v>0</v>
      </c>
      <c r="C1811">
        <v>20400</v>
      </c>
    </row>
    <row r="1812" spans="1:3" x14ac:dyDescent="0.25">
      <c r="A1812" t="s">
        <v>3933</v>
      </c>
      <c r="B1812">
        <v>0</v>
      </c>
      <c r="C1812">
        <v>7500</v>
      </c>
    </row>
    <row r="1813" spans="1:3" x14ac:dyDescent="0.25">
      <c r="A1813" t="s">
        <v>3934</v>
      </c>
      <c r="B1813">
        <v>2</v>
      </c>
      <c r="C1813">
        <v>38000</v>
      </c>
    </row>
    <row r="1814" spans="1:3" x14ac:dyDescent="0.25">
      <c r="A1814" t="s">
        <v>3935</v>
      </c>
      <c r="B1814">
        <v>0</v>
      </c>
      <c r="C1814">
        <v>1100</v>
      </c>
    </row>
    <row r="1815" spans="1:3" x14ac:dyDescent="0.25">
      <c r="A1815" t="s">
        <v>3936</v>
      </c>
      <c r="B1815">
        <v>0</v>
      </c>
      <c r="C1815">
        <v>1150</v>
      </c>
    </row>
    <row r="1816" spans="1:3" x14ac:dyDescent="0.25">
      <c r="A1816" t="s">
        <v>3937</v>
      </c>
      <c r="B1816">
        <v>0</v>
      </c>
      <c r="C1816">
        <v>7600</v>
      </c>
    </row>
    <row r="1817" spans="1:3" x14ac:dyDescent="0.25">
      <c r="A1817" t="s">
        <v>3938</v>
      </c>
      <c r="B1817">
        <v>0</v>
      </c>
      <c r="C1817">
        <v>420</v>
      </c>
    </row>
    <row r="1818" spans="1:3" x14ac:dyDescent="0.25">
      <c r="A1818" t="s">
        <v>3939</v>
      </c>
      <c r="B1818">
        <v>0</v>
      </c>
      <c r="C1818">
        <v>5550</v>
      </c>
    </row>
    <row r="1819" spans="1:3" x14ac:dyDescent="0.25">
      <c r="A1819" t="s">
        <v>3940</v>
      </c>
      <c r="B1819">
        <v>11</v>
      </c>
      <c r="C1819">
        <v>130</v>
      </c>
    </row>
    <row r="1820" spans="1:3" x14ac:dyDescent="0.25">
      <c r="A1820" t="s">
        <v>3941</v>
      </c>
      <c r="B1820">
        <v>0</v>
      </c>
      <c r="C1820">
        <v>650</v>
      </c>
    </row>
    <row r="1821" spans="1:3" x14ac:dyDescent="0.25">
      <c r="A1821" t="s">
        <v>3942</v>
      </c>
      <c r="B1821">
        <v>0</v>
      </c>
      <c r="C1821">
        <v>650</v>
      </c>
    </row>
    <row r="1822" spans="1:3" x14ac:dyDescent="0.25">
      <c r="A1822" t="s">
        <v>3943</v>
      </c>
      <c r="B1822">
        <v>0</v>
      </c>
      <c r="C1822">
        <v>4750</v>
      </c>
    </row>
    <row r="1823" spans="1:3" x14ac:dyDescent="0.25">
      <c r="A1823" t="s">
        <v>3944</v>
      </c>
      <c r="B1823">
        <v>8</v>
      </c>
      <c r="C1823">
        <v>4400</v>
      </c>
    </row>
    <row r="1824" spans="1:3" x14ac:dyDescent="0.25">
      <c r="A1824" t="s">
        <v>3945</v>
      </c>
      <c r="B1824">
        <v>1</v>
      </c>
      <c r="C1824">
        <v>5700</v>
      </c>
    </row>
    <row r="1825" spans="1:3" x14ac:dyDescent="0.25">
      <c r="A1825" t="s">
        <v>3946</v>
      </c>
      <c r="B1825">
        <v>12</v>
      </c>
      <c r="C1825">
        <v>8050</v>
      </c>
    </row>
    <row r="1826" spans="1:3" x14ac:dyDescent="0.25">
      <c r="A1826" t="s">
        <v>3947</v>
      </c>
      <c r="B1826">
        <v>0</v>
      </c>
      <c r="C1826">
        <v>300</v>
      </c>
    </row>
    <row r="1827" spans="1:3" x14ac:dyDescent="0.25">
      <c r="A1827" t="s">
        <v>3948</v>
      </c>
      <c r="B1827">
        <v>0</v>
      </c>
      <c r="C1827">
        <v>460</v>
      </c>
    </row>
    <row r="1828" spans="1:3" x14ac:dyDescent="0.25">
      <c r="A1828" t="s">
        <v>3949</v>
      </c>
      <c r="B1828">
        <v>0</v>
      </c>
      <c r="C1828">
        <v>4250.03</v>
      </c>
    </row>
    <row r="1829" spans="1:3" x14ac:dyDescent="0.25">
      <c r="A1829" t="s">
        <v>3950</v>
      </c>
      <c r="B1829">
        <v>0</v>
      </c>
      <c r="C1829">
        <v>4900</v>
      </c>
    </row>
    <row r="1830" spans="1:3" x14ac:dyDescent="0.25">
      <c r="A1830" t="s">
        <v>3951</v>
      </c>
      <c r="B1830">
        <v>0</v>
      </c>
      <c r="C1830">
        <v>44000</v>
      </c>
    </row>
    <row r="1831" spans="1:3" x14ac:dyDescent="0.25">
      <c r="A1831" t="s">
        <v>72</v>
      </c>
      <c r="B1831">
        <v>19</v>
      </c>
      <c r="C1831">
        <v>1700</v>
      </c>
    </row>
    <row r="1832" spans="1:3" x14ac:dyDescent="0.25">
      <c r="A1832" t="s">
        <v>3952</v>
      </c>
      <c r="B1832">
        <v>0</v>
      </c>
      <c r="C1832">
        <v>4200</v>
      </c>
    </row>
    <row r="1833" spans="1:3" x14ac:dyDescent="0.25">
      <c r="A1833" t="s">
        <v>3953</v>
      </c>
      <c r="B1833">
        <v>0</v>
      </c>
      <c r="C1833">
        <v>800</v>
      </c>
    </row>
    <row r="1834" spans="1:3" x14ac:dyDescent="0.25">
      <c r="A1834" t="s">
        <v>3954</v>
      </c>
      <c r="B1834">
        <v>38</v>
      </c>
      <c r="C1834">
        <v>5200</v>
      </c>
    </row>
    <row r="1835" spans="1:3" x14ac:dyDescent="0.25">
      <c r="A1835" t="s">
        <v>3955</v>
      </c>
      <c r="B1835">
        <v>142</v>
      </c>
      <c r="C1835">
        <v>3500</v>
      </c>
    </row>
    <row r="1836" spans="1:3" x14ac:dyDescent="0.25">
      <c r="A1836" t="s">
        <v>3956</v>
      </c>
      <c r="B1836">
        <v>46</v>
      </c>
      <c r="C1836">
        <v>6400</v>
      </c>
    </row>
    <row r="1837" spans="1:3" x14ac:dyDescent="0.25">
      <c r="A1837" t="s">
        <v>3957</v>
      </c>
      <c r="B1837">
        <v>0</v>
      </c>
      <c r="C1837">
        <v>2250</v>
      </c>
    </row>
    <row r="1838" spans="1:3" x14ac:dyDescent="0.25">
      <c r="A1838" t="s">
        <v>3958</v>
      </c>
      <c r="B1838">
        <v>0</v>
      </c>
      <c r="C1838">
        <v>9650</v>
      </c>
    </row>
    <row r="1839" spans="1:3" x14ac:dyDescent="0.25">
      <c r="A1839" t="s">
        <v>3959</v>
      </c>
      <c r="B1839">
        <v>0</v>
      </c>
      <c r="C1839">
        <v>2200</v>
      </c>
    </row>
    <row r="1840" spans="1:3" x14ac:dyDescent="0.25">
      <c r="A1840" t="s">
        <v>3960</v>
      </c>
      <c r="B1840">
        <v>0</v>
      </c>
      <c r="C1840">
        <v>1150</v>
      </c>
    </row>
    <row r="1841" spans="1:3" x14ac:dyDescent="0.25">
      <c r="A1841" t="s">
        <v>3961</v>
      </c>
      <c r="B1841">
        <v>0</v>
      </c>
      <c r="C1841">
        <v>5300</v>
      </c>
    </row>
    <row r="1842" spans="1:3" x14ac:dyDescent="0.25">
      <c r="A1842" t="s">
        <v>3962</v>
      </c>
      <c r="B1842">
        <v>0</v>
      </c>
      <c r="C1842">
        <v>1</v>
      </c>
    </row>
    <row r="1843" spans="1:3" x14ac:dyDescent="0.25">
      <c r="A1843" t="s">
        <v>3963</v>
      </c>
      <c r="B1843">
        <v>0</v>
      </c>
      <c r="C1843">
        <v>18000</v>
      </c>
    </row>
    <row r="1844" spans="1:3" x14ac:dyDescent="0.25">
      <c r="A1844" t="s">
        <v>3964</v>
      </c>
      <c r="B1844">
        <v>0</v>
      </c>
      <c r="C1844">
        <v>0</v>
      </c>
    </row>
    <row r="1845" spans="1:3" x14ac:dyDescent="0.25">
      <c r="A1845" t="s">
        <v>3965</v>
      </c>
      <c r="B1845">
        <v>0</v>
      </c>
      <c r="C1845">
        <v>3850</v>
      </c>
    </row>
    <row r="1846" spans="1:3" x14ac:dyDescent="0.25">
      <c r="A1846" t="s">
        <v>3966</v>
      </c>
      <c r="B1846">
        <v>0</v>
      </c>
      <c r="C1846">
        <v>0</v>
      </c>
    </row>
    <row r="1847" spans="1:3" x14ac:dyDescent="0.25">
      <c r="A1847" t="s">
        <v>3967</v>
      </c>
      <c r="B1847">
        <v>0</v>
      </c>
      <c r="C1847">
        <v>3450</v>
      </c>
    </row>
    <row r="1848" spans="1:3" x14ac:dyDescent="0.25">
      <c r="A1848" t="s">
        <v>3968</v>
      </c>
      <c r="B1848">
        <v>0</v>
      </c>
      <c r="C1848">
        <v>4050</v>
      </c>
    </row>
    <row r="1849" spans="1:3" x14ac:dyDescent="0.25">
      <c r="A1849" t="s">
        <v>3969</v>
      </c>
      <c r="B1849">
        <v>0</v>
      </c>
      <c r="C1849">
        <v>1120</v>
      </c>
    </row>
    <row r="1850" spans="1:3" x14ac:dyDescent="0.25">
      <c r="A1850" t="s">
        <v>3970</v>
      </c>
      <c r="B1850">
        <v>0</v>
      </c>
      <c r="C1850">
        <v>2450</v>
      </c>
    </row>
    <row r="1851" spans="1:3" x14ac:dyDescent="0.25">
      <c r="A1851" t="s">
        <v>3971</v>
      </c>
      <c r="B1851">
        <v>0</v>
      </c>
      <c r="C1851">
        <v>300</v>
      </c>
    </row>
    <row r="1852" spans="1:3" x14ac:dyDescent="0.25">
      <c r="A1852" t="s">
        <v>3972</v>
      </c>
      <c r="B1852">
        <v>0</v>
      </c>
      <c r="C1852">
        <v>3150</v>
      </c>
    </row>
    <row r="1853" spans="1:3" x14ac:dyDescent="0.25">
      <c r="A1853" t="s">
        <v>3973</v>
      </c>
      <c r="B1853">
        <v>0</v>
      </c>
      <c r="C1853">
        <v>2450</v>
      </c>
    </row>
    <row r="1854" spans="1:3" x14ac:dyDescent="0.25">
      <c r="A1854" t="s">
        <v>3974</v>
      </c>
      <c r="B1854">
        <v>0</v>
      </c>
      <c r="C1854">
        <v>2250</v>
      </c>
    </row>
    <row r="1855" spans="1:3" x14ac:dyDescent="0.25">
      <c r="A1855" t="s">
        <v>3975</v>
      </c>
      <c r="B1855">
        <v>0</v>
      </c>
      <c r="C1855">
        <v>800</v>
      </c>
    </row>
    <row r="1856" spans="1:3" x14ac:dyDescent="0.25">
      <c r="A1856" t="s">
        <v>3976</v>
      </c>
      <c r="B1856">
        <v>0</v>
      </c>
      <c r="C1856">
        <v>1700</v>
      </c>
    </row>
    <row r="1857" spans="1:3" x14ac:dyDescent="0.25">
      <c r="A1857" t="s">
        <v>3977</v>
      </c>
      <c r="B1857">
        <v>0</v>
      </c>
      <c r="C1857">
        <v>1100</v>
      </c>
    </row>
    <row r="1858" spans="1:3" x14ac:dyDescent="0.25">
      <c r="A1858" t="s">
        <v>3978</v>
      </c>
      <c r="B1858">
        <v>0</v>
      </c>
      <c r="C1858">
        <v>2200</v>
      </c>
    </row>
    <row r="1859" spans="1:3" x14ac:dyDescent="0.25">
      <c r="A1859" t="s">
        <v>3979</v>
      </c>
      <c r="B1859">
        <v>0</v>
      </c>
      <c r="C1859">
        <v>2350</v>
      </c>
    </row>
    <row r="1860" spans="1:3" x14ac:dyDescent="0.25">
      <c r="A1860" t="s">
        <v>3980</v>
      </c>
      <c r="B1860">
        <v>0</v>
      </c>
      <c r="C1860">
        <v>28000</v>
      </c>
    </row>
    <row r="1861" spans="1:3" x14ac:dyDescent="0.25">
      <c r="A1861" t="s">
        <v>3981</v>
      </c>
      <c r="B1861">
        <v>0</v>
      </c>
      <c r="C1861">
        <v>750</v>
      </c>
    </row>
    <row r="1862" spans="1:3" x14ac:dyDescent="0.25">
      <c r="A1862" t="s">
        <v>3982</v>
      </c>
      <c r="B1862">
        <v>2</v>
      </c>
      <c r="C1862">
        <v>1700</v>
      </c>
    </row>
    <row r="1863" spans="1:3" x14ac:dyDescent="0.25">
      <c r="A1863" t="s">
        <v>3983</v>
      </c>
      <c r="B1863">
        <v>0</v>
      </c>
      <c r="C1863">
        <v>4300</v>
      </c>
    </row>
    <row r="1864" spans="1:3" x14ac:dyDescent="0.25">
      <c r="A1864" t="s">
        <v>3984</v>
      </c>
      <c r="B1864">
        <v>0</v>
      </c>
      <c r="C1864">
        <v>4300</v>
      </c>
    </row>
    <row r="1865" spans="1:3" x14ac:dyDescent="0.25">
      <c r="A1865" t="s">
        <v>3985</v>
      </c>
      <c r="B1865">
        <v>0</v>
      </c>
      <c r="C1865">
        <v>17250</v>
      </c>
    </row>
    <row r="1866" spans="1:3" x14ac:dyDescent="0.25">
      <c r="A1866" t="s">
        <v>3986</v>
      </c>
      <c r="B1866">
        <v>0</v>
      </c>
      <c r="C1866">
        <v>1300</v>
      </c>
    </row>
    <row r="1867" spans="1:3" x14ac:dyDescent="0.25">
      <c r="A1867" t="s">
        <v>3987</v>
      </c>
      <c r="B1867">
        <v>0</v>
      </c>
      <c r="C1867">
        <v>1500</v>
      </c>
    </row>
    <row r="1868" spans="1:3" x14ac:dyDescent="0.25">
      <c r="A1868" t="s">
        <v>3988</v>
      </c>
      <c r="B1868">
        <v>0</v>
      </c>
      <c r="C1868">
        <v>23000</v>
      </c>
    </row>
    <row r="1869" spans="1:3" x14ac:dyDescent="0.25">
      <c r="A1869" t="s">
        <v>3989</v>
      </c>
      <c r="B1869">
        <v>0</v>
      </c>
      <c r="C1869">
        <v>5900</v>
      </c>
    </row>
    <row r="1870" spans="1:3" x14ac:dyDescent="0.25">
      <c r="A1870" t="s">
        <v>3990</v>
      </c>
      <c r="B1870">
        <v>0</v>
      </c>
      <c r="C1870">
        <v>1750</v>
      </c>
    </row>
    <row r="1871" spans="1:3" x14ac:dyDescent="0.25">
      <c r="A1871" t="s">
        <v>3991</v>
      </c>
      <c r="B1871">
        <v>243.8</v>
      </c>
      <c r="C1871">
        <v>2700</v>
      </c>
    </row>
    <row r="1872" spans="1:3" x14ac:dyDescent="0.25">
      <c r="A1872" t="s">
        <v>3992</v>
      </c>
      <c r="B1872">
        <v>0</v>
      </c>
      <c r="C1872">
        <v>1750</v>
      </c>
    </row>
    <row r="1873" spans="1:3" x14ac:dyDescent="0.25">
      <c r="A1873" t="s">
        <v>3993</v>
      </c>
      <c r="B1873">
        <v>0</v>
      </c>
      <c r="C1873">
        <v>4300</v>
      </c>
    </row>
    <row r="1874" spans="1:3" x14ac:dyDescent="0.25">
      <c r="A1874" t="s">
        <v>3994</v>
      </c>
      <c r="B1874">
        <v>500</v>
      </c>
      <c r="C1874">
        <v>1850</v>
      </c>
    </row>
    <row r="1875" spans="1:3" x14ac:dyDescent="0.25">
      <c r="A1875" t="s">
        <v>3995</v>
      </c>
      <c r="B1875">
        <v>0</v>
      </c>
      <c r="C1875">
        <v>1250</v>
      </c>
    </row>
    <row r="1876" spans="1:3" x14ac:dyDescent="0.25">
      <c r="A1876" t="s">
        <v>3996</v>
      </c>
      <c r="B1876">
        <v>1300</v>
      </c>
      <c r="C1876">
        <v>1950</v>
      </c>
    </row>
    <row r="1877" spans="1:3" x14ac:dyDescent="0.25">
      <c r="A1877" t="s">
        <v>3997</v>
      </c>
      <c r="B1877">
        <v>0</v>
      </c>
      <c r="C1877">
        <v>150</v>
      </c>
    </row>
    <row r="1878" spans="1:3" x14ac:dyDescent="0.25">
      <c r="A1878" t="s">
        <v>3998</v>
      </c>
      <c r="B1878">
        <v>0</v>
      </c>
      <c r="C1878">
        <v>599.995</v>
      </c>
    </row>
    <row r="1879" spans="1:3" x14ac:dyDescent="0.25">
      <c r="A1879" t="s">
        <v>3999</v>
      </c>
      <c r="B1879">
        <v>0</v>
      </c>
      <c r="C1879">
        <v>170</v>
      </c>
    </row>
    <row r="1880" spans="1:3" x14ac:dyDescent="0.25">
      <c r="A1880" t="s">
        <v>4000</v>
      </c>
      <c r="B1880">
        <v>0</v>
      </c>
      <c r="C1880">
        <v>150</v>
      </c>
    </row>
    <row r="1881" spans="1:3" x14ac:dyDescent="0.25">
      <c r="A1881" t="s">
        <v>4001</v>
      </c>
      <c r="B1881">
        <v>0</v>
      </c>
      <c r="C1881">
        <v>3400</v>
      </c>
    </row>
    <row r="1882" spans="1:3" x14ac:dyDescent="0.25">
      <c r="A1882" t="s">
        <v>85</v>
      </c>
      <c r="B1882">
        <v>87</v>
      </c>
      <c r="C1882">
        <v>4300</v>
      </c>
    </row>
    <row r="1883" spans="1:3" x14ac:dyDescent="0.25">
      <c r="A1883" t="s">
        <v>4002</v>
      </c>
      <c r="B1883">
        <v>0</v>
      </c>
      <c r="C1883">
        <v>450</v>
      </c>
    </row>
    <row r="1884" spans="1:3" x14ac:dyDescent="0.25">
      <c r="A1884" t="s">
        <v>4003</v>
      </c>
      <c r="B1884">
        <v>0</v>
      </c>
      <c r="C1884">
        <v>200</v>
      </c>
    </row>
    <row r="1885" spans="1:3" x14ac:dyDescent="0.25">
      <c r="A1885" t="s">
        <v>4004</v>
      </c>
      <c r="B1885">
        <v>0</v>
      </c>
      <c r="C1885">
        <v>2350</v>
      </c>
    </row>
    <row r="1886" spans="1:3" x14ac:dyDescent="0.25">
      <c r="A1886" t="s">
        <v>4005</v>
      </c>
      <c r="B1886">
        <v>0</v>
      </c>
      <c r="C1886">
        <v>650</v>
      </c>
    </row>
    <row r="1887" spans="1:3" x14ac:dyDescent="0.25">
      <c r="A1887" t="s">
        <v>4006</v>
      </c>
      <c r="B1887">
        <v>17</v>
      </c>
      <c r="C1887">
        <v>3450</v>
      </c>
    </row>
    <row r="1888" spans="1:3" x14ac:dyDescent="0.25">
      <c r="A1888" t="s">
        <v>4007</v>
      </c>
      <c r="B1888">
        <v>240</v>
      </c>
      <c r="C1888">
        <v>1900</v>
      </c>
    </row>
    <row r="1889" spans="1:3" x14ac:dyDescent="0.25">
      <c r="A1889" t="s">
        <v>4</v>
      </c>
      <c r="B1889">
        <v>1</v>
      </c>
      <c r="C1889">
        <v>7150</v>
      </c>
    </row>
    <row r="1890" spans="1:3" x14ac:dyDescent="0.25">
      <c r="A1890" t="s">
        <v>95</v>
      </c>
      <c r="B1890">
        <v>80</v>
      </c>
      <c r="C1890">
        <v>550</v>
      </c>
    </row>
    <row r="1891" spans="1:3" x14ac:dyDescent="0.25">
      <c r="A1891" t="s">
        <v>4008</v>
      </c>
      <c r="B1891">
        <v>15</v>
      </c>
      <c r="C1891">
        <v>550</v>
      </c>
    </row>
    <row r="1892" spans="1:3" x14ac:dyDescent="0.25">
      <c r="A1892" t="s">
        <v>4009</v>
      </c>
      <c r="B1892">
        <v>0</v>
      </c>
      <c r="C1892">
        <v>1460</v>
      </c>
    </row>
    <row r="1893" spans="1:3" x14ac:dyDescent="0.25">
      <c r="A1893" t="s">
        <v>4010</v>
      </c>
      <c r="B1893">
        <v>500</v>
      </c>
      <c r="C1893">
        <v>9800</v>
      </c>
    </row>
    <row r="1894" spans="1:3" x14ac:dyDescent="0.25">
      <c r="A1894" t="s">
        <v>4011</v>
      </c>
      <c r="B1894">
        <v>0</v>
      </c>
      <c r="C1894">
        <v>3250</v>
      </c>
    </row>
    <row r="1895" spans="1:3" x14ac:dyDescent="0.25">
      <c r="A1895" t="s">
        <v>4012</v>
      </c>
      <c r="B1895">
        <v>0</v>
      </c>
      <c r="C1895">
        <v>6350</v>
      </c>
    </row>
    <row r="1896" spans="1:3" x14ac:dyDescent="0.25">
      <c r="A1896" t="s">
        <v>4013</v>
      </c>
      <c r="B1896">
        <v>315</v>
      </c>
      <c r="C1896">
        <v>9150</v>
      </c>
    </row>
    <row r="1897" spans="1:3" x14ac:dyDescent="0.25">
      <c r="A1897" t="s">
        <v>7</v>
      </c>
      <c r="B1897">
        <v>267</v>
      </c>
      <c r="C1897">
        <v>7600</v>
      </c>
    </row>
    <row r="1898" spans="1:3" x14ac:dyDescent="0.25">
      <c r="A1898" t="s">
        <v>4014</v>
      </c>
      <c r="B1898">
        <v>0</v>
      </c>
      <c r="C1898">
        <v>21850</v>
      </c>
    </row>
    <row r="1899" spans="1:3" x14ac:dyDescent="0.25">
      <c r="A1899" t="s">
        <v>4015</v>
      </c>
      <c r="B1899">
        <v>0</v>
      </c>
      <c r="C1899">
        <v>13650</v>
      </c>
    </row>
    <row r="1900" spans="1:3" x14ac:dyDescent="0.25">
      <c r="A1900" t="s">
        <v>4016</v>
      </c>
      <c r="B1900">
        <v>680</v>
      </c>
      <c r="C1900">
        <v>2500</v>
      </c>
    </row>
    <row r="1901" spans="1:3" x14ac:dyDescent="0.25">
      <c r="A1901" t="s">
        <v>4017</v>
      </c>
      <c r="B1901">
        <v>0</v>
      </c>
      <c r="C1901">
        <v>0</v>
      </c>
    </row>
    <row r="1902" spans="1:3" x14ac:dyDescent="0.25">
      <c r="A1902" t="s">
        <v>88</v>
      </c>
      <c r="B1902">
        <v>0</v>
      </c>
      <c r="C1902">
        <v>8900</v>
      </c>
    </row>
    <row r="1903" spans="1:3" x14ac:dyDescent="0.25">
      <c r="A1903" t="s">
        <v>4572</v>
      </c>
      <c r="B1903">
        <v>0</v>
      </c>
      <c r="C1903">
        <v>0</v>
      </c>
    </row>
    <row r="1904" spans="1:3" x14ac:dyDescent="0.25">
      <c r="A1904" t="s">
        <v>4018</v>
      </c>
      <c r="B1904">
        <v>0</v>
      </c>
      <c r="C1904">
        <v>600</v>
      </c>
    </row>
    <row r="1905" spans="1:3" x14ac:dyDescent="0.25">
      <c r="A1905" t="s">
        <v>4019</v>
      </c>
      <c r="B1905">
        <v>0</v>
      </c>
      <c r="C1905">
        <v>10450</v>
      </c>
    </row>
    <row r="1906" spans="1:3" x14ac:dyDescent="0.25">
      <c r="A1906" t="s">
        <v>4020</v>
      </c>
      <c r="B1906">
        <v>0</v>
      </c>
      <c r="C1906">
        <v>4100</v>
      </c>
    </row>
    <row r="1907" spans="1:3" x14ac:dyDescent="0.25">
      <c r="A1907" t="s">
        <v>4021</v>
      </c>
      <c r="B1907">
        <v>0</v>
      </c>
      <c r="C1907">
        <v>4600</v>
      </c>
    </row>
    <row r="1908" spans="1:3" x14ac:dyDescent="0.25">
      <c r="A1908" t="s">
        <v>4022</v>
      </c>
      <c r="B1908">
        <v>0</v>
      </c>
      <c r="C1908">
        <v>600</v>
      </c>
    </row>
    <row r="1909" spans="1:3" x14ac:dyDescent="0.25">
      <c r="A1909" t="s">
        <v>4023</v>
      </c>
      <c r="B1909">
        <v>0</v>
      </c>
      <c r="C1909">
        <v>850</v>
      </c>
    </row>
    <row r="1910" spans="1:3" x14ac:dyDescent="0.25">
      <c r="A1910" t="s">
        <v>4024</v>
      </c>
      <c r="B1910">
        <v>1</v>
      </c>
      <c r="C1910">
        <v>1050</v>
      </c>
    </row>
    <row r="1911" spans="1:3" x14ac:dyDescent="0.25">
      <c r="A1911" t="s">
        <v>4025</v>
      </c>
      <c r="B1911">
        <v>0</v>
      </c>
      <c r="C1911">
        <v>1350</v>
      </c>
    </row>
    <row r="1912" spans="1:3" x14ac:dyDescent="0.25">
      <c r="A1912" t="s">
        <v>4026</v>
      </c>
      <c r="B1912">
        <v>0</v>
      </c>
      <c r="C1912">
        <v>0</v>
      </c>
    </row>
    <row r="1913" spans="1:3" x14ac:dyDescent="0.25">
      <c r="A1913" t="s">
        <v>14</v>
      </c>
      <c r="B1913">
        <v>244</v>
      </c>
      <c r="C1913">
        <v>120</v>
      </c>
    </row>
    <row r="1914" spans="1:3" x14ac:dyDescent="0.25">
      <c r="A1914" t="s">
        <v>4027</v>
      </c>
      <c r="B1914">
        <v>0</v>
      </c>
      <c r="C1914">
        <v>3150</v>
      </c>
    </row>
    <row r="1915" spans="1:3" x14ac:dyDescent="0.25">
      <c r="A1915" t="s">
        <v>4028</v>
      </c>
      <c r="B1915">
        <v>0</v>
      </c>
      <c r="C1915">
        <v>3150</v>
      </c>
    </row>
    <row r="1916" spans="1:3" x14ac:dyDescent="0.25">
      <c r="A1916" t="s">
        <v>4029</v>
      </c>
      <c r="B1916">
        <v>0</v>
      </c>
      <c r="C1916">
        <v>400</v>
      </c>
    </row>
    <row r="1917" spans="1:3" x14ac:dyDescent="0.25">
      <c r="A1917" t="s">
        <v>4030</v>
      </c>
      <c r="B1917">
        <v>0</v>
      </c>
      <c r="C1917">
        <v>3600</v>
      </c>
    </row>
    <row r="1918" spans="1:3" x14ac:dyDescent="0.25">
      <c r="A1918" t="s">
        <v>4031</v>
      </c>
      <c r="B1918">
        <v>4</v>
      </c>
      <c r="C1918">
        <v>4650</v>
      </c>
    </row>
    <row r="1919" spans="1:3" x14ac:dyDescent="0.25">
      <c r="A1919" t="s">
        <v>4032</v>
      </c>
      <c r="B1919">
        <v>0</v>
      </c>
      <c r="C1919">
        <v>600</v>
      </c>
    </row>
    <row r="1920" spans="1:3" x14ac:dyDescent="0.25">
      <c r="A1920" t="s">
        <v>4033</v>
      </c>
      <c r="B1920">
        <v>0</v>
      </c>
      <c r="C1920">
        <v>1850</v>
      </c>
    </row>
    <row r="1921" spans="1:3" x14ac:dyDescent="0.25">
      <c r="A1921" t="s">
        <v>4034</v>
      </c>
      <c r="B1921">
        <v>0</v>
      </c>
      <c r="C1921">
        <v>6500</v>
      </c>
    </row>
    <row r="1922" spans="1:3" x14ac:dyDescent="0.25">
      <c r="A1922" t="s">
        <v>4035</v>
      </c>
      <c r="B1922">
        <v>2</v>
      </c>
      <c r="C1922">
        <v>800</v>
      </c>
    </row>
    <row r="1923" spans="1:3" x14ac:dyDescent="0.25">
      <c r="A1923" t="s">
        <v>4036</v>
      </c>
      <c r="B1923">
        <v>1</v>
      </c>
      <c r="C1923">
        <v>9400</v>
      </c>
    </row>
    <row r="1924" spans="1:3" x14ac:dyDescent="0.25">
      <c r="A1924" t="s">
        <v>4037</v>
      </c>
      <c r="B1924">
        <v>0</v>
      </c>
      <c r="C1924">
        <v>7150</v>
      </c>
    </row>
    <row r="1925" spans="1:3" x14ac:dyDescent="0.25">
      <c r="A1925" t="s">
        <v>4038</v>
      </c>
      <c r="B1925">
        <v>10</v>
      </c>
      <c r="C1925">
        <v>5000</v>
      </c>
    </row>
    <row r="1926" spans="1:3" x14ac:dyDescent="0.25">
      <c r="A1926" t="s">
        <v>4039</v>
      </c>
      <c r="B1926">
        <v>0</v>
      </c>
      <c r="C1926">
        <v>850</v>
      </c>
    </row>
    <row r="1927" spans="1:3" x14ac:dyDescent="0.25">
      <c r="A1927" t="s">
        <v>4040</v>
      </c>
      <c r="B1927">
        <v>0</v>
      </c>
      <c r="C1927">
        <v>3400</v>
      </c>
    </row>
    <row r="1928" spans="1:3" x14ac:dyDescent="0.25">
      <c r="A1928" t="s">
        <v>4041</v>
      </c>
      <c r="B1928">
        <v>2182.4</v>
      </c>
      <c r="C1928">
        <v>2500</v>
      </c>
    </row>
    <row r="1929" spans="1:3" x14ac:dyDescent="0.25">
      <c r="A1929" t="s">
        <v>4042</v>
      </c>
      <c r="B1929">
        <v>0</v>
      </c>
      <c r="C1929">
        <v>3900</v>
      </c>
    </row>
    <row r="1930" spans="1:3" x14ac:dyDescent="0.25">
      <c r="A1930" t="s">
        <v>4043</v>
      </c>
      <c r="B1930">
        <v>0</v>
      </c>
      <c r="C1930">
        <v>4050</v>
      </c>
    </row>
    <row r="1931" spans="1:3" x14ac:dyDescent="0.25">
      <c r="A1931" t="s">
        <v>4044</v>
      </c>
      <c r="B1931">
        <v>0</v>
      </c>
      <c r="C1931">
        <v>4750</v>
      </c>
    </row>
    <row r="1932" spans="1:3" x14ac:dyDescent="0.25">
      <c r="A1932" t="s">
        <v>4045</v>
      </c>
      <c r="B1932">
        <v>0</v>
      </c>
      <c r="C1932">
        <v>10100</v>
      </c>
    </row>
    <row r="1933" spans="1:3" x14ac:dyDescent="0.25">
      <c r="A1933" t="s">
        <v>4046</v>
      </c>
      <c r="B1933">
        <v>52</v>
      </c>
      <c r="C1933">
        <v>8000</v>
      </c>
    </row>
    <row r="1934" spans="1:3" x14ac:dyDescent="0.25">
      <c r="A1934" t="s">
        <v>4047</v>
      </c>
      <c r="B1934">
        <v>0</v>
      </c>
      <c r="C1934">
        <v>1250</v>
      </c>
    </row>
    <row r="1935" spans="1:3" x14ac:dyDescent="0.25">
      <c r="A1935" t="s">
        <v>4048</v>
      </c>
      <c r="B1935">
        <v>1</v>
      </c>
      <c r="C1935">
        <v>13600</v>
      </c>
    </row>
    <row r="1936" spans="1:3" x14ac:dyDescent="0.25">
      <c r="A1936" t="s">
        <v>4049</v>
      </c>
      <c r="B1936">
        <v>0</v>
      </c>
      <c r="C1936">
        <v>250</v>
      </c>
    </row>
    <row r="1937" spans="1:3" x14ac:dyDescent="0.25">
      <c r="A1937" t="s">
        <v>4050</v>
      </c>
      <c r="B1937">
        <v>0</v>
      </c>
      <c r="C1937">
        <v>800</v>
      </c>
    </row>
    <row r="1938" spans="1:3" x14ac:dyDescent="0.25">
      <c r="A1938" t="s">
        <v>4051</v>
      </c>
      <c r="B1938">
        <v>0</v>
      </c>
      <c r="C1938">
        <v>0</v>
      </c>
    </row>
    <row r="1939" spans="1:3" x14ac:dyDescent="0.25">
      <c r="A1939" t="s">
        <v>4052</v>
      </c>
      <c r="B1939">
        <v>0</v>
      </c>
      <c r="C1939">
        <v>1750</v>
      </c>
    </row>
    <row r="1940" spans="1:3" x14ac:dyDescent="0.25">
      <c r="A1940" t="s">
        <v>4053</v>
      </c>
      <c r="B1940">
        <v>0</v>
      </c>
      <c r="C1940">
        <v>4450</v>
      </c>
    </row>
    <row r="1941" spans="1:3" x14ac:dyDescent="0.25">
      <c r="A1941" t="s">
        <v>4054</v>
      </c>
      <c r="B1941">
        <v>0</v>
      </c>
      <c r="C1941">
        <v>4450</v>
      </c>
    </row>
    <row r="1942" spans="1:3" x14ac:dyDescent="0.25">
      <c r="A1942" t="s">
        <v>4055</v>
      </c>
      <c r="B1942">
        <v>319</v>
      </c>
      <c r="C1942">
        <v>4400</v>
      </c>
    </row>
    <row r="1943" spans="1:3" x14ac:dyDescent="0.25">
      <c r="A1943" t="s">
        <v>4056</v>
      </c>
      <c r="B1943">
        <v>0</v>
      </c>
      <c r="C1943">
        <v>2150</v>
      </c>
    </row>
    <row r="1944" spans="1:3" x14ac:dyDescent="0.25">
      <c r="A1944" t="s">
        <v>4057</v>
      </c>
      <c r="B1944">
        <v>2</v>
      </c>
      <c r="C1944">
        <v>2300</v>
      </c>
    </row>
    <row r="1945" spans="1:3" x14ac:dyDescent="0.25">
      <c r="A1945" t="s">
        <v>4058</v>
      </c>
      <c r="B1945">
        <v>0</v>
      </c>
      <c r="C1945">
        <v>2850</v>
      </c>
    </row>
    <row r="1946" spans="1:3" x14ac:dyDescent="0.25">
      <c r="A1946" t="s">
        <v>4059</v>
      </c>
      <c r="B1946">
        <v>0</v>
      </c>
      <c r="C1946">
        <v>2600</v>
      </c>
    </row>
    <row r="1947" spans="1:3" x14ac:dyDescent="0.25">
      <c r="A1947" t="s">
        <v>4060</v>
      </c>
      <c r="B1947">
        <v>0</v>
      </c>
      <c r="C1947">
        <v>1100</v>
      </c>
    </row>
    <row r="1948" spans="1:3" x14ac:dyDescent="0.25">
      <c r="A1948" t="s">
        <v>4061</v>
      </c>
      <c r="B1948">
        <v>0</v>
      </c>
      <c r="C1948">
        <v>1300</v>
      </c>
    </row>
    <row r="1949" spans="1:3" x14ac:dyDescent="0.25">
      <c r="A1949" t="s">
        <v>4062</v>
      </c>
      <c r="B1949">
        <v>0</v>
      </c>
      <c r="C1949">
        <v>800</v>
      </c>
    </row>
    <row r="1950" spans="1:3" x14ac:dyDescent="0.25">
      <c r="A1950" t="s">
        <v>4063</v>
      </c>
      <c r="B1950">
        <v>0</v>
      </c>
      <c r="C1950">
        <v>4750</v>
      </c>
    </row>
    <row r="1951" spans="1:3" x14ac:dyDescent="0.25">
      <c r="A1951" t="s">
        <v>4064</v>
      </c>
      <c r="B1951">
        <v>0</v>
      </c>
      <c r="C1951">
        <v>7750</v>
      </c>
    </row>
    <row r="1952" spans="1:3" x14ac:dyDescent="0.25">
      <c r="A1952" t="s">
        <v>4065</v>
      </c>
      <c r="B1952">
        <v>3673</v>
      </c>
      <c r="C1952">
        <v>550</v>
      </c>
    </row>
    <row r="1953" spans="1:3" x14ac:dyDescent="0.25">
      <c r="A1953" t="s">
        <v>4066</v>
      </c>
      <c r="B1953">
        <v>0</v>
      </c>
      <c r="C1953">
        <v>5700</v>
      </c>
    </row>
    <row r="1954" spans="1:3" x14ac:dyDescent="0.25">
      <c r="A1954" t="s">
        <v>4067</v>
      </c>
      <c r="B1954">
        <v>0</v>
      </c>
      <c r="C1954">
        <v>11700</v>
      </c>
    </row>
    <row r="1955" spans="1:3" x14ac:dyDescent="0.25">
      <c r="A1955" t="s">
        <v>4068</v>
      </c>
      <c r="B1955">
        <v>10</v>
      </c>
      <c r="C1955">
        <v>29000</v>
      </c>
    </row>
    <row r="1956" spans="1:3" x14ac:dyDescent="0.25">
      <c r="A1956" t="s">
        <v>4069</v>
      </c>
      <c r="B1956">
        <v>0</v>
      </c>
      <c r="C1956">
        <v>0</v>
      </c>
    </row>
    <row r="1957" spans="1:3" x14ac:dyDescent="0.25">
      <c r="A1957" t="s">
        <v>4070</v>
      </c>
      <c r="B1957">
        <v>0</v>
      </c>
      <c r="C1957">
        <v>1350</v>
      </c>
    </row>
    <row r="1958" spans="1:3" x14ac:dyDescent="0.25">
      <c r="A1958" t="s">
        <v>4071</v>
      </c>
      <c r="B1958">
        <v>0</v>
      </c>
      <c r="C1958">
        <v>170</v>
      </c>
    </row>
    <row r="1959" spans="1:3" x14ac:dyDescent="0.25">
      <c r="A1959" t="s">
        <v>96</v>
      </c>
      <c r="B1959">
        <v>0</v>
      </c>
      <c r="C1959">
        <v>1650</v>
      </c>
    </row>
    <row r="1960" spans="1:3" x14ac:dyDescent="0.25">
      <c r="A1960" t="s">
        <v>4072</v>
      </c>
      <c r="B1960">
        <v>0</v>
      </c>
      <c r="C1960">
        <v>1450</v>
      </c>
    </row>
    <row r="1961" spans="1:3" x14ac:dyDescent="0.25">
      <c r="A1961" t="s">
        <v>4073</v>
      </c>
      <c r="B1961">
        <v>1</v>
      </c>
      <c r="C1961">
        <v>7700</v>
      </c>
    </row>
    <row r="1962" spans="1:3" x14ac:dyDescent="0.25">
      <c r="A1962" t="s">
        <v>4074</v>
      </c>
      <c r="B1962">
        <v>0</v>
      </c>
      <c r="C1962">
        <v>4150</v>
      </c>
    </row>
    <row r="1963" spans="1:3" x14ac:dyDescent="0.25">
      <c r="A1963" t="s">
        <v>4075</v>
      </c>
      <c r="B1963">
        <v>1</v>
      </c>
      <c r="C1963">
        <v>6250</v>
      </c>
    </row>
    <row r="1964" spans="1:3" x14ac:dyDescent="0.25">
      <c r="A1964" t="s">
        <v>4076</v>
      </c>
      <c r="B1964">
        <v>2</v>
      </c>
      <c r="C1964">
        <v>14100</v>
      </c>
    </row>
    <row r="1965" spans="1:3" x14ac:dyDescent="0.25">
      <c r="A1965" t="s">
        <v>4077</v>
      </c>
      <c r="B1965">
        <v>0</v>
      </c>
      <c r="C1965">
        <v>3000</v>
      </c>
    </row>
    <row r="1966" spans="1:3" x14ac:dyDescent="0.25">
      <c r="A1966" t="s">
        <v>4078</v>
      </c>
      <c r="B1966">
        <v>1035</v>
      </c>
      <c r="C1966">
        <v>320</v>
      </c>
    </row>
    <row r="1967" spans="1:3" x14ac:dyDescent="0.25">
      <c r="A1967" t="s">
        <v>4079</v>
      </c>
      <c r="B1967">
        <v>82</v>
      </c>
      <c r="C1967">
        <v>9250</v>
      </c>
    </row>
    <row r="1968" spans="1:3" x14ac:dyDescent="0.25">
      <c r="A1968" t="s">
        <v>4080</v>
      </c>
      <c r="B1968">
        <v>0</v>
      </c>
      <c r="C1968">
        <v>29200</v>
      </c>
    </row>
    <row r="1969" spans="1:3" x14ac:dyDescent="0.25">
      <c r="A1969" t="s">
        <v>4081</v>
      </c>
      <c r="B1969">
        <v>0</v>
      </c>
      <c r="C1969">
        <v>1800</v>
      </c>
    </row>
    <row r="1970" spans="1:3" x14ac:dyDescent="0.25">
      <c r="A1970" t="s">
        <v>4082</v>
      </c>
      <c r="B1970">
        <v>0</v>
      </c>
      <c r="C1970">
        <v>800</v>
      </c>
    </row>
    <row r="1971" spans="1:3" x14ac:dyDescent="0.25">
      <c r="A1971" t="s">
        <v>4083</v>
      </c>
      <c r="B1971">
        <v>97</v>
      </c>
      <c r="C1971">
        <v>8400</v>
      </c>
    </row>
    <row r="1972" spans="1:3" x14ac:dyDescent="0.25">
      <c r="A1972" t="s">
        <v>4084</v>
      </c>
      <c r="B1972">
        <v>0</v>
      </c>
      <c r="C1972">
        <v>8400</v>
      </c>
    </row>
    <row r="1973" spans="1:3" x14ac:dyDescent="0.25">
      <c r="A1973" t="s">
        <v>4085</v>
      </c>
      <c r="B1973">
        <v>16</v>
      </c>
      <c r="C1973">
        <v>750</v>
      </c>
    </row>
    <row r="1974" spans="1:3" x14ac:dyDescent="0.25">
      <c r="A1974" t="s">
        <v>4086</v>
      </c>
      <c r="B1974">
        <v>0</v>
      </c>
      <c r="C1974">
        <v>36250</v>
      </c>
    </row>
    <row r="1975" spans="1:3" x14ac:dyDescent="0.25">
      <c r="A1975" t="s">
        <v>4087</v>
      </c>
      <c r="B1975">
        <v>0</v>
      </c>
      <c r="C1975">
        <v>1550</v>
      </c>
    </row>
    <row r="1976" spans="1:3" x14ac:dyDescent="0.25">
      <c r="A1976" t="s">
        <v>4088</v>
      </c>
      <c r="B1976">
        <v>0</v>
      </c>
      <c r="C1976">
        <v>29000</v>
      </c>
    </row>
    <row r="1977" spans="1:3" x14ac:dyDescent="0.25">
      <c r="A1977" t="s">
        <v>4089</v>
      </c>
      <c r="B1977">
        <v>0</v>
      </c>
      <c r="C1977">
        <v>0</v>
      </c>
    </row>
    <row r="1978" spans="1:3" x14ac:dyDescent="0.25">
      <c r="A1978" t="s">
        <v>4090</v>
      </c>
      <c r="B1978">
        <v>1049</v>
      </c>
      <c r="C1978">
        <v>7900</v>
      </c>
    </row>
    <row r="1979" spans="1:3" x14ac:dyDescent="0.25">
      <c r="A1979" t="s">
        <v>4091</v>
      </c>
      <c r="B1979">
        <v>219</v>
      </c>
      <c r="C1979">
        <v>5950</v>
      </c>
    </row>
    <row r="1980" spans="1:3" x14ac:dyDescent="0.25">
      <c r="A1980" t="s">
        <v>4092</v>
      </c>
      <c r="B1980">
        <v>597</v>
      </c>
      <c r="C1980">
        <v>2050</v>
      </c>
    </row>
    <row r="1981" spans="1:3" x14ac:dyDescent="0.25">
      <c r="A1981" t="s">
        <v>4093</v>
      </c>
      <c r="B1981">
        <v>93</v>
      </c>
      <c r="C1981">
        <v>1650</v>
      </c>
    </row>
    <row r="1982" spans="1:3" x14ac:dyDescent="0.25">
      <c r="A1982" t="s">
        <v>4094</v>
      </c>
      <c r="B1982">
        <v>114</v>
      </c>
      <c r="C1982">
        <v>13850</v>
      </c>
    </row>
    <row r="1983" spans="1:3" x14ac:dyDescent="0.25">
      <c r="A1983" t="s">
        <v>4095</v>
      </c>
      <c r="B1983">
        <v>194</v>
      </c>
      <c r="C1983">
        <v>5850</v>
      </c>
    </row>
    <row r="1984" spans="1:3" x14ac:dyDescent="0.25">
      <c r="A1984" t="s">
        <v>4096</v>
      </c>
      <c r="B1984">
        <v>0</v>
      </c>
      <c r="C1984">
        <v>8750</v>
      </c>
    </row>
    <row r="1985" spans="1:3" x14ac:dyDescent="0.25">
      <c r="A1985" t="s">
        <v>4097</v>
      </c>
      <c r="B1985">
        <v>0</v>
      </c>
      <c r="C1985">
        <v>8900</v>
      </c>
    </row>
    <row r="1986" spans="1:3" x14ac:dyDescent="0.25">
      <c r="A1986" t="s">
        <v>4098</v>
      </c>
      <c r="B1986">
        <v>50</v>
      </c>
      <c r="C1986">
        <v>9650</v>
      </c>
    </row>
    <row r="1987" spans="1:3" x14ac:dyDescent="0.25">
      <c r="A1987" t="s">
        <v>4099</v>
      </c>
      <c r="B1987">
        <v>0</v>
      </c>
      <c r="C1987">
        <v>170</v>
      </c>
    </row>
    <row r="1988" spans="1:3" x14ac:dyDescent="0.25">
      <c r="A1988" t="s">
        <v>4100</v>
      </c>
      <c r="B1988">
        <v>0</v>
      </c>
      <c r="C1988">
        <v>330</v>
      </c>
    </row>
    <row r="1989" spans="1:3" x14ac:dyDescent="0.25">
      <c r="A1989" t="s">
        <v>4101</v>
      </c>
      <c r="B1989">
        <v>1</v>
      </c>
      <c r="C1989">
        <v>4450</v>
      </c>
    </row>
    <row r="1990" spans="1:3" x14ac:dyDescent="0.25">
      <c r="A1990" t="s">
        <v>92</v>
      </c>
      <c r="B1990">
        <v>2255</v>
      </c>
      <c r="C1990">
        <v>2000</v>
      </c>
    </row>
    <row r="1991" spans="1:3" x14ac:dyDescent="0.25">
      <c r="A1991" t="s">
        <v>4102</v>
      </c>
      <c r="B1991">
        <v>0</v>
      </c>
      <c r="C1991">
        <v>10350</v>
      </c>
    </row>
    <row r="1992" spans="1:3" x14ac:dyDescent="0.25">
      <c r="A1992" t="s">
        <v>4103</v>
      </c>
      <c r="B1992">
        <v>0</v>
      </c>
      <c r="C1992">
        <v>6350</v>
      </c>
    </row>
    <row r="1993" spans="1:3" x14ac:dyDescent="0.25">
      <c r="A1993" t="s">
        <v>4104</v>
      </c>
      <c r="B1993">
        <v>0</v>
      </c>
      <c r="C1993">
        <v>7100</v>
      </c>
    </row>
    <row r="1994" spans="1:3" x14ac:dyDescent="0.25">
      <c r="A1994" t="s">
        <v>4105</v>
      </c>
      <c r="B1994">
        <v>0</v>
      </c>
      <c r="C1994">
        <v>7100</v>
      </c>
    </row>
    <row r="1995" spans="1:3" x14ac:dyDescent="0.25">
      <c r="A1995" t="s">
        <v>4106</v>
      </c>
      <c r="B1995">
        <v>2</v>
      </c>
      <c r="C1995">
        <v>9550</v>
      </c>
    </row>
    <row r="1996" spans="1:3" x14ac:dyDescent="0.25">
      <c r="A1996" t="s">
        <v>4471</v>
      </c>
      <c r="B1996">
        <v>0</v>
      </c>
      <c r="C1996">
        <v>2000</v>
      </c>
    </row>
    <row r="1997" spans="1:3" x14ac:dyDescent="0.25">
      <c r="A1997" t="s">
        <v>4107</v>
      </c>
      <c r="B1997">
        <v>0</v>
      </c>
      <c r="C1997">
        <v>35000</v>
      </c>
    </row>
    <row r="1998" spans="1:3" x14ac:dyDescent="0.25">
      <c r="A1998" t="s">
        <v>4108</v>
      </c>
      <c r="B1998">
        <v>0</v>
      </c>
      <c r="C1998">
        <v>2600</v>
      </c>
    </row>
    <row r="1999" spans="1:3" x14ac:dyDescent="0.25">
      <c r="A1999" t="s">
        <v>4109</v>
      </c>
      <c r="B1999">
        <v>1</v>
      </c>
      <c r="C1999">
        <v>43750</v>
      </c>
    </row>
    <row r="2000" spans="1:3" x14ac:dyDescent="0.25">
      <c r="A2000" t="s">
        <v>4110</v>
      </c>
      <c r="B2000">
        <v>15</v>
      </c>
      <c r="C2000">
        <v>30000</v>
      </c>
    </row>
    <row r="2001" spans="1:3" x14ac:dyDescent="0.25">
      <c r="A2001" t="s">
        <v>4111</v>
      </c>
      <c r="B2001">
        <v>0</v>
      </c>
      <c r="C2001">
        <v>14000</v>
      </c>
    </row>
    <row r="2002" spans="1:3" x14ac:dyDescent="0.25">
      <c r="A2002" t="s">
        <v>4112</v>
      </c>
      <c r="B2002">
        <v>0</v>
      </c>
      <c r="C2002">
        <v>21000</v>
      </c>
    </row>
    <row r="2003" spans="1:3" x14ac:dyDescent="0.25">
      <c r="A2003" t="s">
        <v>4113</v>
      </c>
      <c r="B2003">
        <v>0</v>
      </c>
      <c r="C2003">
        <v>2450</v>
      </c>
    </row>
    <row r="2004" spans="1:3" x14ac:dyDescent="0.25">
      <c r="A2004" t="s">
        <v>4114</v>
      </c>
      <c r="B2004">
        <v>1</v>
      </c>
      <c r="C2004">
        <v>3600</v>
      </c>
    </row>
    <row r="2005" spans="1:3" x14ac:dyDescent="0.25">
      <c r="A2005" t="s">
        <v>4115</v>
      </c>
      <c r="B2005">
        <v>1</v>
      </c>
      <c r="C2005">
        <v>1</v>
      </c>
    </row>
    <row r="2006" spans="1:3" x14ac:dyDescent="0.25">
      <c r="A2006" t="s">
        <v>4116</v>
      </c>
      <c r="B2006">
        <v>141</v>
      </c>
      <c r="C2006">
        <v>14400</v>
      </c>
    </row>
    <row r="2007" spans="1:3" x14ac:dyDescent="0.25">
      <c r="A2007" t="s">
        <v>4117</v>
      </c>
      <c r="B2007">
        <v>0</v>
      </c>
      <c r="C2007">
        <v>180</v>
      </c>
    </row>
    <row r="2008" spans="1:3" x14ac:dyDescent="0.25">
      <c r="A2008" t="s">
        <v>4118</v>
      </c>
      <c r="B2008">
        <v>65</v>
      </c>
      <c r="C2008">
        <v>9900</v>
      </c>
    </row>
    <row r="2009" spans="1:3" x14ac:dyDescent="0.25">
      <c r="A2009" t="s">
        <v>4119</v>
      </c>
      <c r="B2009">
        <v>0</v>
      </c>
      <c r="C2009">
        <v>300</v>
      </c>
    </row>
    <row r="2010" spans="1:3" x14ac:dyDescent="0.25">
      <c r="A2010" t="s">
        <v>4120</v>
      </c>
      <c r="B2010">
        <v>0</v>
      </c>
      <c r="C2010">
        <v>170</v>
      </c>
    </row>
    <row r="2011" spans="1:3" x14ac:dyDescent="0.25">
      <c r="A2011" t="s">
        <v>4121</v>
      </c>
      <c r="B2011">
        <v>165</v>
      </c>
      <c r="C2011">
        <v>8050</v>
      </c>
    </row>
    <row r="2012" spans="1:3" x14ac:dyDescent="0.25">
      <c r="A2012" t="s">
        <v>4122</v>
      </c>
      <c r="B2012">
        <v>0</v>
      </c>
      <c r="C2012">
        <v>3900</v>
      </c>
    </row>
    <row r="2013" spans="1:3" x14ac:dyDescent="0.25">
      <c r="A2013" t="s">
        <v>75</v>
      </c>
      <c r="B2013">
        <v>230</v>
      </c>
      <c r="C2013">
        <v>6700</v>
      </c>
    </row>
    <row r="2014" spans="1:3" x14ac:dyDescent="0.25">
      <c r="A2014" t="s">
        <v>4123</v>
      </c>
      <c r="B2014">
        <v>0</v>
      </c>
      <c r="C2014">
        <v>40000</v>
      </c>
    </row>
    <row r="2015" spans="1:3" x14ac:dyDescent="0.25">
      <c r="A2015" t="s">
        <v>4124</v>
      </c>
      <c r="B2015">
        <v>52</v>
      </c>
      <c r="C2015">
        <v>9100</v>
      </c>
    </row>
    <row r="2016" spans="1:3" x14ac:dyDescent="0.25">
      <c r="A2016" t="s">
        <v>4125</v>
      </c>
      <c r="B2016">
        <v>0</v>
      </c>
      <c r="C2016">
        <v>6500</v>
      </c>
    </row>
    <row r="2017" spans="1:3" x14ac:dyDescent="0.25">
      <c r="A2017" t="s">
        <v>4126</v>
      </c>
      <c r="B2017">
        <v>0</v>
      </c>
      <c r="C2017">
        <v>9550</v>
      </c>
    </row>
    <row r="2018" spans="1:3" x14ac:dyDescent="0.25">
      <c r="A2018" t="s">
        <v>4127</v>
      </c>
      <c r="B2018">
        <v>0</v>
      </c>
      <c r="C2018">
        <v>0</v>
      </c>
    </row>
    <row r="2019" spans="1:3" x14ac:dyDescent="0.25">
      <c r="A2019" t="s">
        <v>4128</v>
      </c>
      <c r="B2019">
        <v>10639</v>
      </c>
      <c r="C2019">
        <v>150</v>
      </c>
    </row>
    <row r="2020" spans="1:3" x14ac:dyDescent="0.25">
      <c r="A2020" t="s">
        <v>4129</v>
      </c>
      <c r="B2020">
        <v>0</v>
      </c>
      <c r="C2020">
        <v>28000</v>
      </c>
    </row>
    <row r="2021" spans="1:3" x14ac:dyDescent="0.25">
      <c r="A2021" t="s">
        <v>100</v>
      </c>
      <c r="B2021">
        <v>1320</v>
      </c>
      <c r="C2021">
        <v>750</v>
      </c>
    </row>
    <row r="2022" spans="1:3" x14ac:dyDescent="0.25">
      <c r="A2022" t="s">
        <v>4130</v>
      </c>
      <c r="B2022">
        <v>0</v>
      </c>
      <c r="C2022">
        <v>21900</v>
      </c>
    </row>
    <row r="2023" spans="1:3" x14ac:dyDescent="0.25">
      <c r="A2023" t="s">
        <v>4131</v>
      </c>
      <c r="B2023">
        <v>0</v>
      </c>
      <c r="C2023">
        <v>350</v>
      </c>
    </row>
    <row r="2024" spans="1:3" x14ac:dyDescent="0.25">
      <c r="A2024" t="s">
        <v>4132</v>
      </c>
      <c r="B2024">
        <v>0</v>
      </c>
      <c r="C2024">
        <v>750</v>
      </c>
    </row>
    <row r="2025" spans="1:3" x14ac:dyDescent="0.25">
      <c r="A2025" t="s">
        <v>4133</v>
      </c>
      <c r="B2025">
        <v>0</v>
      </c>
      <c r="C2025">
        <v>4150</v>
      </c>
    </row>
    <row r="2026" spans="1:3" x14ac:dyDescent="0.25">
      <c r="A2026" t="s">
        <v>4134</v>
      </c>
      <c r="B2026">
        <v>1</v>
      </c>
      <c r="C2026">
        <v>8500</v>
      </c>
    </row>
    <row r="2027" spans="1:3" x14ac:dyDescent="0.25">
      <c r="A2027" t="s">
        <v>4135</v>
      </c>
      <c r="B2027">
        <v>0</v>
      </c>
      <c r="C2027">
        <v>14500</v>
      </c>
    </row>
    <row r="2028" spans="1:3" x14ac:dyDescent="0.25">
      <c r="A2028" t="s">
        <v>4136</v>
      </c>
      <c r="B2028">
        <v>0</v>
      </c>
      <c r="C2028">
        <v>29000</v>
      </c>
    </row>
    <row r="2029" spans="1:3" x14ac:dyDescent="0.25">
      <c r="A2029" t="s">
        <v>4137</v>
      </c>
      <c r="B2029">
        <v>1</v>
      </c>
      <c r="C2029">
        <v>26000</v>
      </c>
    </row>
    <row r="2030" spans="1:3" x14ac:dyDescent="0.25">
      <c r="A2030" t="s">
        <v>4138</v>
      </c>
      <c r="B2030">
        <v>0</v>
      </c>
      <c r="C2030">
        <v>6100</v>
      </c>
    </row>
    <row r="2031" spans="1:3" x14ac:dyDescent="0.25">
      <c r="A2031" t="s">
        <v>4139</v>
      </c>
      <c r="B2031">
        <v>0</v>
      </c>
      <c r="C2031">
        <v>4380</v>
      </c>
    </row>
    <row r="2032" spans="1:3" x14ac:dyDescent="0.25">
      <c r="A2032" t="s">
        <v>4140</v>
      </c>
      <c r="B2032">
        <v>0</v>
      </c>
      <c r="C2032">
        <v>5840</v>
      </c>
    </row>
    <row r="2033" spans="1:3" x14ac:dyDescent="0.25">
      <c r="A2033" t="s">
        <v>4141</v>
      </c>
      <c r="B2033">
        <v>0</v>
      </c>
      <c r="C2033">
        <v>7300</v>
      </c>
    </row>
    <row r="2034" spans="1:3" x14ac:dyDescent="0.25">
      <c r="A2034" t="s">
        <v>4142</v>
      </c>
      <c r="B2034">
        <v>0</v>
      </c>
      <c r="C2034">
        <v>14600</v>
      </c>
    </row>
    <row r="2035" spans="1:3" x14ac:dyDescent="0.25">
      <c r="A2035" t="s">
        <v>4143</v>
      </c>
      <c r="B2035">
        <v>1</v>
      </c>
      <c r="C2035">
        <v>8400</v>
      </c>
    </row>
    <row r="2036" spans="1:3" x14ac:dyDescent="0.25">
      <c r="A2036" t="s">
        <v>4144</v>
      </c>
      <c r="B2036">
        <v>0</v>
      </c>
      <c r="C2036">
        <v>4150</v>
      </c>
    </row>
    <row r="2037" spans="1:3" x14ac:dyDescent="0.25">
      <c r="A2037" t="s">
        <v>4145</v>
      </c>
      <c r="B2037">
        <v>0</v>
      </c>
      <c r="C2037">
        <v>8350</v>
      </c>
    </row>
    <row r="2038" spans="1:3" x14ac:dyDescent="0.25">
      <c r="A2038" t="s">
        <v>4146</v>
      </c>
      <c r="B2038">
        <v>0</v>
      </c>
      <c r="C2038">
        <v>1200</v>
      </c>
    </row>
    <row r="2039" spans="1:3" x14ac:dyDescent="0.25">
      <c r="A2039" t="s">
        <v>4147</v>
      </c>
      <c r="B2039">
        <v>0</v>
      </c>
      <c r="C2039">
        <v>6700</v>
      </c>
    </row>
    <row r="2040" spans="1:3" x14ac:dyDescent="0.25">
      <c r="A2040" t="s">
        <v>4148</v>
      </c>
      <c r="B2040">
        <v>1</v>
      </c>
      <c r="C2040">
        <v>8000</v>
      </c>
    </row>
    <row r="2041" spans="1:3" x14ac:dyDescent="0.25">
      <c r="A2041" t="s">
        <v>4149</v>
      </c>
      <c r="B2041">
        <v>171</v>
      </c>
      <c r="C2041">
        <v>5650</v>
      </c>
    </row>
    <row r="2042" spans="1:3" x14ac:dyDescent="0.25">
      <c r="A2042" t="s">
        <v>4150</v>
      </c>
      <c r="B2042">
        <v>1</v>
      </c>
      <c r="C2042">
        <v>850</v>
      </c>
    </row>
    <row r="2043" spans="1:3" x14ac:dyDescent="0.25">
      <c r="A2043" t="s">
        <v>4151</v>
      </c>
      <c r="B2043">
        <v>1</v>
      </c>
      <c r="C2043">
        <v>4050</v>
      </c>
    </row>
    <row r="2044" spans="1:3" x14ac:dyDescent="0.25">
      <c r="A2044" t="s">
        <v>4152</v>
      </c>
      <c r="B2044">
        <v>0</v>
      </c>
      <c r="C2044">
        <v>6950</v>
      </c>
    </row>
    <row r="2045" spans="1:3" x14ac:dyDescent="0.25">
      <c r="A2045" t="s">
        <v>79</v>
      </c>
      <c r="B2045">
        <v>0</v>
      </c>
      <c r="C2045">
        <v>1400</v>
      </c>
    </row>
    <row r="2046" spans="1:3" x14ac:dyDescent="0.25">
      <c r="A2046" t="s">
        <v>4153</v>
      </c>
      <c r="B2046">
        <v>0</v>
      </c>
      <c r="C2046">
        <v>4200</v>
      </c>
    </row>
    <row r="2047" spans="1:3" x14ac:dyDescent="0.25">
      <c r="A2047" t="s">
        <v>4154</v>
      </c>
      <c r="B2047">
        <v>0</v>
      </c>
      <c r="C2047">
        <v>5600</v>
      </c>
    </row>
    <row r="2048" spans="1:3" x14ac:dyDescent="0.25">
      <c r="A2048" t="s">
        <v>4155</v>
      </c>
      <c r="B2048">
        <v>0</v>
      </c>
      <c r="C2048">
        <v>7000</v>
      </c>
    </row>
    <row r="2049" spans="1:3" x14ac:dyDescent="0.25">
      <c r="A2049" t="s">
        <v>4156</v>
      </c>
      <c r="B2049">
        <v>0</v>
      </c>
      <c r="C2049">
        <v>7300</v>
      </c>
    </row>
    <row r="2050" spans="1:3" x14ac:dyDescent="0.25">
      <c r="A2050" t="s">
        <v>4157</v>
      </c>
      <c r="B2050">
        <v>0</v>
      </c>
      <c r="C2050">
        <v>7250</v>
      </c>
    </row>
    <row r="2051" spans="1:3" x14ac:dyDescent="0.25">
      <c r="A2051" t="s">
        <v>4158</v>
      </c>
      <c r="B2051">
        <v>0</v>
      </c>
      <c r="C2051">
        <v>5800</v>
      </c>
    </row>
    <row r="2052" spans="1:3" x14ac:dyDescent="0.25">
      <c r="A2052" t="s">
        <v>4159</v>
      </c>
      <c r="B2052">
        <v>0</v>
      </c>
      <c r="C2052">
        <v>7800</v>
      </c>
    </row>
    <row r="2053" spans="1:3" x14ac:dyDescent="0.25">
      <c r="A2053" t="s">
        <v>4160</v>
      </c>
      <c r="B2053">
        <v>0</v>
      </c>
      <c r="C2053">
        <v>4150</v>
      </c>
    </row>
    <row r="2054" spans="1:3" x14ac:dyDescent="0.25">
      <c r="A2054" t="s">
        <v>4161</v>
      </c>
      <c r="B2054">
        <v>7</v>
      </c>
      <c r="C2054">
        <v>18550</v>
      </c>
    </row>
    <row r="2055" spans="1:3" x14ac:dyDescent="0.25">
      <c r="A2055" t="s">
        <v>4162</v>
      </c>
      <c r="B2055">
        <v>0</v>
      </c>
      <c r="C2055">
        <v>5850</v>
      </c>
    </row>
    <row r="2056" spans="1:3" x14ac:dyDescent="0.25">
      <c r="A2056" t="s">
        <v>4163</v>
      </c>
      <c r="B2056">
        <v>251</v>
      </c>
      <c r="C2056">
        <v>5450</v>
      </c>
    </row>
    <row r="2057" spans="1:3" x14ac:dyDescent="0.25">
      <c r="A2057" t="s">
        <v>4164</v>
      </c>
      <c r="B2057">
        <v>1</v>
      </c>
      <c r="C2057">
        <v>5250</v>
      </c>
    </row>
    <row r="2058" spans="1:3" x14ac:dyDescent="0.25">
      <c r="A2058" t="s">
        <v>4165</v>
      </c>
      <c r="B2058">
        <v>0</v>
      </c>
      <c r="C2058">
        <v>1</v>
      </c>
    </row>
    <row r="2059" spans="1:3" x14ac:dyDescent="0.25">
      <c r="A2059" t="s">
        <v>4166</v>
      </c>
      <c r="B2059">
        <v>0</v>
      </c>
      <c r="C2059">
        <v>1</v>
      </c>
    </row>
    <row r="2060" spans="1:3" x14ac:dyDescent="0.25">
      <c r="A2060" t="s">
        <v>4167</v>
      </c>
      <c r="B2060">
        <v>326</v>
      </c>
      <c r="C2060">
        <v>8000</v>
      </c>
    </row>
    <row r="2061" spans="1:3" x14ac:dyDescent="0.25">
      <c r="A2061" t="s">
        <v>4168</v>
      </c>
      <c r="B2061">
        <v>0</v>
      </c>
      <c r="C2061">
        <v>13300</v>
      </c>
    </row>
    <row r="2062" spans="1:3" x14ac:dyDescent="0.25">
      <c r="A2062" t="s">
        <v>4169</v>
      </c>
      <c r="B2062">
        <v>314</v>
      </c>
      <c r="C2062">
        <v>8800</v>
      </c>
    </row>
    <row r="2063" spans="1:3" x14ac:dyDescent="0.25">
      <c r="A2063" t="s">
        <v>4170</v>
      </c>
      <c r="B2063">
        <v>0</v>
      </c>
      <c r="C2063">
        <v>1</v>
      </c>
    </row>
    <row r="2064" spans="1:3" x14ac:dyDescent="0.25">
      <c r="A2064" t="s">
        <v>4171</v>
      </c>
      <c r="B2064">
        <v>0</v>
      </c>
      <c r="C2064">
        <v>250</v>
      </c>
    </row>
    <row r="2065" spans="1:3" x14ac:dyDescent="0.25">
      <c r="A2065" t="s">
        <v>4172</v>
      </c>
      <c r="B2065">
        <v>0</v>
      </c>
      <c r="C2065">
        <v>1</v>
      </c>
    </row>
    <row r="2066" spans="1:3" x14ac:dyDescent="0.25">
      <c r="A2066" t="s">
        <v>4173</v>
      </c>
      <c r="B2066">
        <v>36</v>
      </c>
      <c r="C2066">
        <v>550</v>
      </c>
    </row>
    <row r="2067" spans="1:3" x14ac:dyDescent="0.25">
      <c r="A2067" t="s">
        <v>4174</v>
      </c>
      <c r="B2067">
        <v>13</v>
      </c>
      <c r="C2067">
        <v>6250</v>
      </c>
    </row>
    <row r="2068" spans="1:3" x14ac:dyDescent="0.25">
      <c r="A2068" t="s">
        <v>4175</v>
      </c>
      <c r="B2068">
        <v>94</v>
      </c>
      <c r="C2068">
        <v>170</v>
      </c>
    </row>
    <row r="2069" spans="1:3" x14ac:dyDescent="0.25">
      <c r="A2069" t="s">
        <v>4176</v>
      </c>
      <c r="B2069">
        <v>0</v>
      </c>
      <c r="C2069">
        <v>8250</v>
      </c>
    </row>
    <row r="2070" spans="1:3" x14ac:dyDescent="0.25">
      <c r="A2070" t="s">
        <v>4177</v>
      </c>
      <c r="B2070">
        <v>7</v>
      </c>
      <c r="C2070">
        <v>16400</v>
      </c>
    </row>
    <row r="2071" spans="1:3" x14ac:dyDescent="0.25">
      <c r="A2071" t="s">
        <v>4178</v>
      </c>
      <c r="B2071">
        <v>0</v>
      </c>
      <c r="C2071">
        <v>950</v>
      </c>
    </row>
    <row r="2072" spans="1:3" x14ac:dyDescent="0.25">
      <c r="A2072" t="s">
        <v>4179</v>
      </c>
      <c r="B2072">
        <v>0</v>
      </c>
      <c r="C2072">
        <v>1</v>
      </c>
    </row>
    <row r="2073" spans="1:3" x14ac:dyDescent="0.25">
      <c r="A2073" t="s">
        <v>4180</v>
      </c>
      <c r="B2073">
        <v>0</v>
      </c>
      <c r="C2073">
        <v>1400</v>
      </c>
    </row>
    <row r="2074" spans="1:3" x14ac:dyDescent="0.25">
      <c r="A2074" t="s">
        <v>4181</v>
      </c>
      <c r="B2074">
        <v>488</v>
      </c>
      <c r="C2074">
        <v>1500</v>
      </c>
    </row>
    <row r="2075" spans="1:3" x14ac:dyDescent="0.25">
      <c r="A2075" t="s">
        <v>4182</v>
      </c>
      <c r="B2075">
        <v>0</v>
      </c>
      <c r="C2075">
        <v>28750</v>
      </c>
    </row>
    <row r="2076" spans="1:3" x14ac:dyDescent="0.25">
      <c r="A2076" t="s">
        <v>4183</v>
      </c>
      <c r="B2076">
        <v>0</v>
      </c>
      <c r="C2076">
        <v>5050</v>
      </c>
    </row>
    <row r="2077" spans="1:3" x14ac:dyDescent="0.25">
      <c r="A2077" t="s">
        <v>4184</v>
      </c>
      <c r="B2077">
        <v>0</v>
      </c>
      <c r="C2077">
        <v>3050</v>
      </c>
    </row>
    <row r="2078" spans="1:3" x14ac:dyDescent="0.25">
      <c r="A2078" t="s">
        <v>4185</v>
      </c>
      <c r="B2078">
        <v>8</v>
      </c>
      <c r="C2078">
        <v>24000</v>
      </c>
    </row>
    <row r="2079" spans="1:3" x14ac:dyDescent="0.25">
      <c r="A2079" t="s">
        <v>4186</v>
      </c>
      <c r="B2079">
        <v>0</v>
      </c>
      <c r="C2079">
        <v>7200</v>
      </c>
    </row>
    <row r="2080" spans="1:3" x14ac:dyDescent="0.25">
      <c r="A2080" t="s">
        <v>4187</v>
      </c>
      <c r="B2080">
        <v>0</v>
      </c>
      <c r="C2080">
        <v>34600</v>
      </c>
    </row>
    <row r="2081" spans="1:3" x14ac:dyDescent="0.25">
      <c r="A2081" t="s">
        <v>4188</v>
      </c>
      <c r="B2081">
        <v>1000</v>
      </c>
      <c r="C2081">
        <v>1730</v>
      </c>
    </row>
    <row r="2082" spans="1:3" x14ac:dyDescent="0.25">
      <c r="A2082" t="s">
        <v>4189</v>
      </c>
      <c r="B2082">
        <v>0</v>
      </c>
      <c r="C2082">
        <v>6050</v>
      </c>
    </row>
    <row r="2083" spans="1:3" x14ac:dyDescent="0.25">
      <c r="A2083" t="s">
        <v>4190</v>
      </c>
      <c r="B2083">
        <v>0</v>
      </c>
      <c r="C2083">
        <v>4350</v>
      </c>
    </row>
    <row r="2084" spans="1:3" x14ac:dyDescent="0.25">
      <c r="A2084" t="s">
        <v>4191</v>
      </c>
      <c r="B2084">
        <v>7</v>
      </c>
      <c r="C2084">
        <v>24950</v>
      </c>
    </row>
    <row r="2085" spans="1:3" x14ac:dyDescent="0.25">
      <c r="A2085" t="s">
        <v>4192</v>
      </c>
      <c r="B2085">
        <v>0</v>
      </c>
      <c r="C2085">
        <v>1</v>
      </c>
    </row>
    <row r="2086" spans="1:3" x14ac:dyDescent="0.25">
      <c r="A2086" t="s">
        <v>4193</v>
      </c>
      <c r="B2086">
        <v>0</v>
      </c>
      <c r="C2086">
        <v>1</v>
      </c>
    </row>
    <row r="2087" spans="1:3" x14ac:dyDescent="0.25">
      <c r="A2087" t="s">
        <v>4194</v>
      </c>
      <c r="B2087">
        <v>262</v>
      </c>
      <c r="C2087">
        <v>9550</v>
      </c>
    </row>
    <row r="2088" spans="1:3" x14ac:dyDescent="0.25">
      <c r="A2088" t="s">
        <v>4195</v>
      </c>
      <c r="B2088">
        <v>4</v>
      </c>
      <c r="C2088">
        <v>40000</v>
      </c>
    </row>
    <row r="2089" spans="1:3" x14ac:dyDescent="0.25">
      <c r="A2089" t="s">
        <v>4196</v>
      </c>
      <c r="B2089">
        <v>0</v>
      </c>
      <c r="C2089">
        <v>1</v>
      </c>
    </row>
    <row r="2090" spans="1:3" x14ac:dyDescent="0.25">
      <c r="A2090" t="s">
        <v>4197</v>
      </c>
      <c r="B2090">
        <v>0</v>
      </c>
      <c r="C2090">
        <v>15350</v>
      </c>
    </row>
    <row r="2091" spans="1:3" x14ac:dyDescent="0.25">
      <c r="A2091" t="s">
        <v>4198</v>
      </c>
      <c r="B2091">
        <v>0</v>
      </c>
      <c r="C2091">
        <v>1</v>
      </c>
    </row>
    <row r="2092" spans="1:3" x14ac:dyDescent="0.25">
      <c r="A2092" t="s">
        <v>4199</v>
      </c>
      <c r="B2092">
        <v>0</v>
      </c>
      <c r="C2092">
        <v>4050</v>
      </c>
    </row>
    <row r="2093" spans="1:3" x14ac:dyDescent="0.25">
      <c r="A2093" t="s">
        <v>4200</v>
      </c>
      <c r="B2093">
        <v>0</v>
      </c>
      <c r="C2093">
        <v>0</v>
      </c>
    </row>
    <row r="2094" spans="1:3" x14ac:dyDescent="0.25">
      <c r="A2094" t="s">
        <v>4201</v>
      </c>
      <c r="B2094">
        <v>0</v>
      </c>
      <c r="C2094">
        <v>1</v>
      </c>
    </row>
    <row r="2095" spans="1:3" x14ac:dyDescent="0.25">
      <c r="A2095" t="s">
        <v>4202</v>
      </c>
      <c r="B2095">
        <v>53</v>
      </c>
      <c r="C2095">
        <v>9900</v>
      </c>
    </row>
    <row r="2096" spans="1:3" x14ac:dyDescent="0.25">
      <c r="A2096" t="s">
        <v>4203</v>
      </c>
      <c r="B2096">
        <v>0</v>
      </c>
      <c r="C2096">
        <v>1</v>
      </c>
    </row>
    <row r="2097" spans="1:3" x14ac:dyDescent="0.25">
      <c r="A2097" t="s">
        <v>4204</v>
      </c>
      <c r="B2097">
        <v>0</v>
      </c>
      <c r="C2097">
        <v>0</v>
      </c>
    </row>
    <row r="2098" spans="1:3" x14ac:dyDescent="0.25">
      <c r="A2098" t="s">
        <v>4205</v>
      </c>
      <c r="B2098">
        <v>99</v>
      </c>
      <c r="C2098">
        <v>8400</v>
      </c>
    </row>
    <row r="2099" spans="1:3" x14ac:dyDescent="0.25">
      <c r="A2099" t="s">
        <v>4206</v>
      </c>
      <c r="B2099">
        <v>0</v>
      </c>
      <c r="C2099">
        <v>900</v>
      </c>
    </row>
    <row r="2100" spans="1:3" x14ac:dyDescent="0.25">
      <c r="A2100" t="s">
        <v>4207</v>
      </c>
      <c r="B2100">
        <v>0</v>
      </c>
      <c r="C2100">
        <v>900</v>
      </c>
    </row>
    <row r="2101" spans="1:3" x14ac:dyDescent="0.25">
      <c r="A2101" t="s">
        <v>4208</v>
      </c>
      <c r="B2101">
        <v>326</v>
      </c>
      <c r="C2101">
        <v>3700</v>
      </c>
    </row>
    <row r="2102" spans="1:3" x14ac:dyDescent="0.25">
      <c r="A2102" t="s">
        <v>4209</v>
      </c>
      <c r="B2102">
        <v>0</v>
      </c>
      <c r="C2102">
        <v>900</v>
      </c>
    </row>
    <row r="2103" spans="1:3" x14ac:dyDescent="0.25">
      <c r="A2103" t="s">
        <v>4210</v>
      </c>
      <c r="B2103">
        <v>1</v>
      </c>
      <c r="C2103">
        <v>2000</v>
      </c>
    </row>
    <row r="2104" spans="1:3" x14ac:dyDescent="0.25">
      <c r="A2104" t="s">
        <v>4211</v>
      </c>
      <c r="B2104">
        <v>0</v>
      </c>
      <c r="C2104">
        <v>21500</v>
      </c>
    </row>
    <row r="2105" spans="1:3" x14ac:dyDescent="0.25">
      <c r="A2105" t="s">
        <v>4212</v>
      </c>
      <c r="B2105">
        <v>0</v>
      </c>
      <c r="C2105">
        <v>6250</v>
      </c>
    </row>
    <row r="2106" spans="1:3" x14ac:dyDescent="0.25">
      <c r="A2106" t="s">
        <v>4213</v>
      </c>
      <c r="B2106">
        <v>5</v>
      </c>
      <c r="C2106">
        <v>24000</v>
      </c>
    </row>
    <row r="2107" spans="1:3" x14ac:dyDescent="0.25">
      <c r="A2107" t="s">
        <v>4214</v>
      </c>
      <c r="B2107">
        <v>0</v>
      </c>
      <c r="C2107">
        <v>1250</v>
      </c>
    </row>
    <row r="2108" spans="1:3" x14ac:dyDescent="0.25">
      <c r="A2108" t="s">
        <v>4215</v>
      </c>
      <c r="B2108">
        <v>0</v>
      </c>
      <c r="C2108">
        <v>3500</v>
      </c>
    </row>
    <row r="2109" spans="1:3" x14ac:dyDescent="0.25">
      <c r="A2109" t="s">
        <v>4216</v>
      </c>
      <c r="B2109">
        <v>0</v>
      </c>
      <c r="C2109">
        <v>15400</v>
      </c>
    </row>
    <row r="2110" spans="1:3" x14ac:dyDescent="0.25">
      <c r="A2110" t="s">
        <v>4217</v>
      </c>
      <c r="B2110">
        <v>0</v>
      </c>
      <c r="C2110">
        <v>3550</v>
      </c>
    </row>
    <row r="2111" spans="1:3" x14ac:dyDescent="0.25">
      <c r="A2111" t="s">
        <v>4218</v>
      </c>
      <c r="B2111">
        <v>4</v>
      </c>
      <c r="C2111">
        <v>7250</v>
      </c>
    </row>
    <row r="2112" spans="1:3" x14ac:dyDescent="0.25">
      <c r="A2112" t="s">
        <v>4219</v>
      </c>
      <c r="B2112">
        <v>0</v>
      </c>
      <c r="C2112">
        <v>3760</v>
      </c>
    </row>
    <row r="2113" spans="1:3" x14ac:dyDescent="0.25">
      <c r="A2113" t="s">
        <v>4220</v>
      </c>
      <c r="B2113">
        <v>0</v>
      </c>
      <c r="C2113">
        <v>4230</v>
      </c>
    </row>
    <row r="2114" spans="1:3" x14ac:dyDescent="0.25">
      <c r="A2114" t="s">
        <v>4221</v>
      </c>
      <c r="B2114">
        <v>0</v>
      </c>
      <c r="C2114">
        <v>9400</v>
      </c>
    </row>
    <row r="2115" spans="1:3" x14ac:dyDescent="0.25">
      <c r="A2115" t="s">
        <v>4222</v>
      </c>
      <c r="B2115">
        <v>2</v>
      </c>
      <c r="C2115">
        <v>3120</v>
      </c>
    </row>
    <row r="2116" spans="1:3" x14ac:dyDescent="0.25">
      <c r="A2116" t="s">
        <v>4223</v>
      </c>
      <c r="B2116">
        <v>1</v>
      </c>
      <c r="C2116">
        <v>3640</v>
      </c>
    </row>
    <row r="2117" spans="1:3" x14ac:dyDescent="0.25">
      <c r="A2117" t="s">
        <v>4224</v>
      </c>
      <c r="B2117">
        <v>0</v>
      </c>
      <c r="C2117">
        <v>4160</v>
      </c>
    </row>
    <row r="2118" spans="1:3" x14ac:dyDescent="0.25">
      <c r="A2118" t="s">
        <v>4225</v>
      </c>
      <c r="B2118">
        <v>0</v>
      </c>
      <c r="C2118">
        <v>4680</v>
      </c>
    </row>
    <row r="2119" spans="1:3" x14ac:dyDescent="0.25">
      <c r="A2119" t="s">
        <v>4226</v>
      </c>
      <c r="B2119">
        <v>0</v>
      </c>
      <c r="C2119">
        <v>5200</v>
      </c>
    </row>
    <row r="2120" spans="1:3" x14ac:dyDescent="0.25">
      <c r="A2120" t="s">
        <v>4227</v>
      </c>
      <c r="B2120">
        <v>0</v>
      </c>
      <c r="C2120">
        <v>5720</v>
      </c>
    </row>
    <row r="2121" spans="1:3" x14ac:dyDescent="0.25">
      <c r="A2121" t="s">
        <v>4228</v>
      </c>
      <c r="B2121">
        <v>0</v>
      </c>
      <c r="C2121">
        <v>6760</v>
      </c>
    </row>
    <row r="2122" spans="1:3" x14ac:dyDescent="0.25">
      <c r="A2122" t="s">
        <v>4229</v>
      </c>
      <c r="B2122">
        <v>0</v>
      </c>
      <c r="C2122">
        <v>7800</v>
      </c>
    </row>
    <row r="2123" spans="1:3" x14ac:dyDescent="0.25">
      <c r="A2123" t="s">
        <v>4230</v>
      </c>
      <c r="B2123">
        <v>0</v>
      </c>
      <c r="C2123">
        <v>8320</v>
      </c>
    </row>
    <row r="2124" spans="1:3" x14ac:dyDescent="0.25">
      <c r="A2124" t="s">
        <v>4231</v>
      </c>
      <c r="B2124">
        <v>0</v>
      </c>
      <c r="C2124">
        <v>8840</v>
      </c>
    </row>
    <row r="2125" spans="1:3" x14ac:dyDescent="0.25">
      <c r="A2125" t="s">
        <v>4232</v>
      </c>
      <c r="B2125">
        <v>0</v>
      </c>
      <c r="C2125">
        <v>10400</v>
      </c>
    </row>
    <row r="2126" spans="1:3" x14ac:dyDescent="0.25">
      <c r="A2126" t="s">
        <v>4233</v>
      </c>
      <c r="B2126">
        <v>0</v>
      </c>
      <c r="C2126">
        <v>2900</v>
      </c>
    </row>
    <row r="2127" spans="1:3" x14ac:dyDescent="0.25">
      <c r="A2127" t="s">
        <v>4234</v>
      </c>
      <c r="B2127">
        <v>0</v>
      </c>
      <c r="C2127">
        <v>5220</v>
      </c>
    </row>
    <row r="2128" spans="1:3" x14ac:dyDescent="0.25">
      <c r="A2128" t="s">
        <v>4235</v>
      </c>
      <c r="B2128">
        <v>0</v>
      </c>
      <c r="C2128">
        <v>500</v>
      </c>
    </row>
    <row r="2129" spans="1:3" x14ac:dyDescent="0.25">
      <c r="A2129" t="s">
        <v>4236</v>
      </c>
      <c r="B2129">
        <v>0</v>
      </c>
      <c r="C2129">
        <v>2820</v>
      </c>
    </row>
    <row r="2130" spans="1:3" x14ac:dyDescent="0.25">
      <c r="A2130" t="s">
        <v>4237</v>
      </c>
      <c r="B2130">
        <v>1</v>
      </c>
      <c r="C2130">
        <v>5640</v>
      </c>
    </row>
    <row r="2131" spans="1:3" x14ac:dyDescent="0.25">
      <c r="A2131" t="s">
        <v>4238</v>
      </c>
      <c r="B2131">
        <v>0</v>
      </c>
      <c r="C2131">
        <v>7520</v>
      </c>
    </row>
    <row r="2132" spans="1:3" x14ac:dyDescent="0.25">
      <c r="A2132" t="s">
        <v>4239</v>
      </c>
      <c r="B2132">
        <v>0</v>
      </c>
      <c r="C2132">
        <v>7990</v>
      </c>
    </row>
    <row r="2133" spans="1:3" x14ac:dyDescent="0.25">
      <c r="A2133" t="s">
        <v>4240</v>
      </c>
      <c r="B2133">
        <v>1</v>
      </c>
      <c r="C2133">
        <v>1740</v>
      </c>
    </row>
    <row r="2134" spans="1:3" x14ac:dyDescent="0.25">
      <c r="A2134" t="s">
        <v>4241</v>
      </c>
      <c r="B2134">
        <v>0</v>
      </c>
      <c r="C2134">
        <v>0</v>
      </c>
    </row>
    <row r="2135" spans="1:3" x14ac:dyDescent="0.25">
      <c r="A2135" t="s">
        <v>4242</v>
      </c>
      <c r="B2135">
        <v>6063.8</v>
      </c>
      <c r="C2135">
        <v>3600</v>
      </c>
    </row>
    <row r="2136" spans="1:3" x14ac:dyDescent="0.25">
      <c r="A2136" t="s">
        <v>4243</v>
      </c>
      <c r="B2136">
        <v>0</v>
      </c>
      <c r="C2136">
        <v>0</v>
      </c>
    </row>
    <row r="2137" spans="1:3" x14ac:dyDescent="0.25">
      <c r="A2137" t="s">
        <v>4244</v>
      </c>
      <c r="B2137">
        <v>0</v>
      </c>
      <c r="C2137">
        <v>28000</v>
      </c>
    </row>
    <row r="2138" spans="1:3" x14ac:dyDescent="0.25">
      <c r="A2138" t="s">
        <v>4245</v>
      </c>
      <c r="B2138">
        <v>12</v>
      </c>
      <c r="C2138">
        <v>7500</v>
      </c>
    </row>
    <row r="2139" spans="1:3" x14ac:dyDescent="0.25">
      <c r="A2139" t="s">
        <v>4246</v>
      </c>
      <c r="B2139">
        <v>1</v>
      </c>
      <c r="C2139">
        <v>6050</v>
      </c>
    </row>
    <row r="2140" spans="1:3" x14ac:dyDescent="0.25">
      <c r="A2140" t="s">
        <v>4247</v>
      </c>
      <c r="B2140">
        <v>19</v>
      </c>
      <c r="C2140">
        <v>6250</v>
      </c>
    </row>
    <row r="2141" spans="1:3" x14ac:dyDescent="0.25">
      <c r="A2141" t="s">
        <v>4248</v>
      </c>
      <c r="B2141">
        <v>0</v>
      </c>
      <c r="C2141">
        <v>5300</v>
      </c>
    </row>
    <row r="2142" spans="1:3" x14ac:dyDescent="0.25">
      <c r="A2142" t="s">
        <v>4249</v>
      </c>
      <c r="B2142">
        <v>3</v>
      </c>
      <c r="C2142">
        <v>3400</v>
      </c>
    </row>
    <row r="2143" spans="1:3" x14ac:dyDescent="0.25">
      <c r="A2143" t="s">
        <v>4250</v>
      </c>
      <c r="B2143">
        <v>29</v>
      </c>
      <c r="C2143">
        <v>21000</v>
      </c>
    </row>
    <row r="2144" spans="1:3" x14ac:dyDescent="0.25">
      <c r="A2144" t="s">
        <v>4251</v>
      </c>
      <c r="B2144">
        <v>0</v>
      </c>
      <c r="C2144">
        <v>170</v>
      </c>
    </row>
    <row r="2145" spans="1:3" x14ac:dyDescent="0.25">
      <c r="A2145" t="s">
        <v>4252</v>
      </c>
      <c r="B2145">
        <v>89</v>
      </c>
      <c r="C2145">
        <v>6950</v>
      </c>
    </row>
    <row r="2146" spans="1:3" x14ac:dyDescent="0.25">
      <c r="A2146" t="s">
        <v>4253</v>
      </c>
      <c r="B2146">
        <v>0</v>
      </c>
      <c r="C2146">
        <v>7700</v>
      </c>
    </row>
    <row r="2147" spans="1:3" x14ac:dyDescent="0.25">
      <c r="A2147" t="s">
        <v>4254</v>
      </c>
      <c r="B2147">
        <v>33</v>
      </c>
      <c r="C2147">
        <v>25000</v>
      </c>
    </row>
    <row r="2148" spans="1:3" x14ac:dyDescent="0.25">
      <c r="A2148" t="s">
        <v>4255</v>
      </c>
      <c r="B2148">
        <v>0</v>
      </c>
      <c r="C2148">
        <v>1</v>
      </c>
    </row>
    <row r="2149" spans="1:3" x14ac:dyDescent="0.25">
      <c r="A2149" t="s">
        <v>4256</v>
      </c>
      <c r="B2149">
        <v>0</v>
      </c>
      <c r="C2149">
        <v>7600</v>
      </c>
    </row>
    <row r="2150" spans="1:3" x14ac:dyDescent="0.25">
      <c r="A2150" t="s">
        <v>4257</v>
      </c>
      <c r="B2150">
        <v>0</v>
      </c>
      <c r="C2150">
        <v>2700</v>
      </c>
    </row>
    <row r="2151" spans="1:3" x14ac:dyDescent="0.25">
      <c r="A2151" t="s">
        <v>4258</v>
      </c>
      <c r="B2151">
        <v>1</v>
      </c>
      <c r="C2151">
        <v>1000</v>
      </c>
    </row>
    <row r="2152" spans="1:3" x14ac:dyDescent="0.25">
      <c r="A2152" t="s">
        <v>4259</v>
      </c>
      <c r="B2152">
        <v>8.6</v>
      </c>
      <c r="C2152">
        <v>1750</v>
      </c>
    </row>
    <row r="2153" spans="1:3" x14ac:dyDescent="0.25">
      <c r="A2153" t="s">
        <v>4260</v>
      </c>
      <c r="B2153">
        <v>8.1</v>
      </c>
      <c r="C2153">
        <v>1750</v>
      </c>
    </row>
    <row r="2154" spans="1:3" x14ac:dyDescent="0.25">
      <c r="A2154" t="s">
        <v>4261</v>
      </c>
      <c r="B2154">
        <v>2.8</v>
      </c>
      <c r="C2154">
        <v>1750</v>
      </c>
    </row>
    <row r="2155" spans="1:3" x14ac:dyDescent="0.25">
      <c r="A2155" t="s">
        <v>4262</v>
      </c>
      <c r="B2155">
        <v>0</v>
      </c>
      <c r="C2155">
        <v>1750</v>
      </c>
    </row>
    <row r="2156" spans="1:3" x14ac:dyDescent="0.25">
      <c r="A2156" t="s">
        <v>4263</v>
      </c>
      <c r="B2156">
        <v>3.2</v>
      </c>
      <c r="C2156">
        <v>1750</v>
      </c>
    </row>
    <row r="2157" spans="1:3" x14ac:dyDescent="0.25">
      <c r="A2157" t="s">
        <v>4264</v>
      </c>
      <c r="B2157">
        <v>0</v>
      </c>
      <c r="C2157">
        <v>5400</v>
      </c>
    </row>
    <row r="2158" spans="1:3" x14ac:dyDescent="0.25">
      <c r="A2158" t="s">
        <v>4265</v>
      </c>
      <c r="B2158">
        <v>4</v>
      </c>
      <c r="C2158">
        <v>3850</v>
      </c>
    </row>
    <row r="2159" spans="1:3" x14ac:dyDescent="0.25">
      <c r="A2159" t="s">
        <v>4266</v>
      </c>
      <c r="B2159">
        <v>30</v>
      </c>
      <c r="C2159">
        <v>170</v>
      </c>
    </row>
    <row r="2160" spans="1:3" x14ac:dyDescent="0.25">
      <c r="A2160" t="s">
        <v>4267</v>
      </c>
      <c r="B2160">
        <v>0</v>
      </c>
      <c r="C2160">
        <v>5500</v>
      </c>
    </row>
    <row r="2161" spans="1:3" x14ac:dyDescent="0.25">
      <c r="A2161" t="s">
        <v>4268</v>
      </c>
      <c r="B2161">
        <v>0</v>
      </c>
      <c r="C2161">
        <v>170</v>
      </c>
    </row>
    <row r="2162" spans="1:3" x14ac:dyDescent="0.25">
      <c r="A2162" t="s">
        <v>74</v>
      </c>
      <c r="B2162">
        <v>2470</v>
      </c>
      <c r="C2162">
        <v>1500</v>
      </c>
    </row>
    <row r="2163" spans="1:3" x14ac:dyDescent="0.25">
      <c r="A2163" t="s">
        <v>4269</v>
      </c>
      <c r="B2163">
        <v>0</v>
      </c>
      <c r="C2163">
        <v>15750</v>
      </c>
    </row>
    <row r="2164" spans="1:3" x14ac:dyDescent="0.25">
      <c r="A2164" t="s">
        <v>4270</v>
      </c>
      <c r="B2164">
        <v>0</v>
      </c>
      <c r="C2164">
        <v>8400</v>
      </c>
    </row>
    <row r="2165" spans="1:3" x14ac:dyDescent="0.25">
      <c r="A2165" t="s">
        <v>4271</v>
      </c>
      <c r="B2165">
        <v>0</v>
      </c>
      <c r="C2165">
        <v>12650</v>
      </c>
    </row>
    <row r="2166" spans="1:3" x14ac:dyDescent="0.25">
      <c r="A2166" t="s">
        <v>4272</v>
      </c>
      <c r="B2166">
        <v>0</v>
      </c>
      <c r="C2166">
        <v>2050</v>
      </c>
    </row>
    <row r="2167" spans="1:3" x14ac:dyDescent="0.25">
      <c r="A2167" t="s">
        <v>11</v>
      </c>
      <c r="B2167">
        <v>0</v>
      </c>
      <c r="C2167">
        <v>750</v>
      </c>
    </row>
    <row r="2168" spans="1:3" x14ac:dyDescent="0.25">
      <c r="A2168" t="s">
        <v>4273</v>
      </c>
      <c r="B2168">
        <v>100</v>
      </c>
      <c r="C2168">
        <v>1100</v>
      </c>
    </row>
    <row r="2169" spans="1:3" x14ac:dyDescent="0.25">
      <c r="A2169" t="s">
        <v>4274</v>
      </c>
      <c r="B2169">
        <v>0</v>
      </c>
      <c r="C2169">
        <v>550</v>
      </c>
    </row>
    <row r="2170" spans="1:3" x14ac:dyDescent="0.25">
      <c r="A2170" t="s">
        <v>4275</v>
      </c>
      <c r="B2170">
        <v>0</v>
      </c>
      <c r="C2170">
        <v>1100</v>
      </c>
    </row>
    <row r="2171" spans="1:3" x14ac:dyDescent="0.25">
      <c r="A2171" t="s">
        <v>4276</v>
      </c>
      <c r="B2171">
        <v>1</v>
      </c>
      <c r="C2171">
        <v>5300</v>
      </c>
    </row>
    <row r="2172" spans="1:3" x14ac:dyDescent="0.25">
      <c r="A2172" t="s">
        <v>4277</v>
      </c>
      <c r="B2172">
        <v>0</v>
      </c>
      <c r="C2172">
        <v>3550</v>
      </c>
    </row>
    <row r="2173" spans="1:3" x14ac:dyDescent="0.25">
      <c r="A2173" t="s">
        <v>4278</v>
      </c>
      <c r="B2173">
        <v>166</v>
      </c>
      <c r="C2173">
        <v>4050</v>
      </c>
    </row>
    <row r="2174" spans="1:3" x14ac:dyDescent="0.25">
      <c r="A2174" t="s">
        <v>4279</v>
      </c>
      <c r="B2174">
        <v>21</v>
      </c>
      <c r="C2174">
        <v>10950</v>
      </c>
    </row>
    <row r="2175" spans="1:3" x14ac:dyDescent="0.25">
      <c r="A2175" t="s">
        <v>4280</v>
      </c>
      <c r="B2175">
        <v>2286</v>
      </c>
      <c r="C2175">
        <v>170</v>
      </c>
    </row>
    <row r="2176" spans="1:3" x14ac:dyDescent="0.25">
      <c r="A2176" t="s">
        <v>4281</v>
      </c>
      <c r="B2176">
        <v>710</v>
      </c>
      <c r="C2176">
        <v>12400</v>
      </c>
    </row>
    <row r="2177" spans="1:3" x14ac:dyDescent="0.25">
      <c r="A2177" t="s">
        <v>4282</v>
      </c>
      <c r="B2177">
        <v>0</v>
      </c>
      <c r="C2177">
        <v>475</v>
      </c>
    </row>
    <row r="2178" spans="1:3" x14ac:dyDescent="0.25">
      <c r="A2178" t="s">
        <v>4283</v>
      </c>
      <c r="B2178">
        <v>0</v>
      </c>
      <c r="C2178">
        <v>650</v>
      </c>
    </row>
    <row r="2179" spans="1:3" x14ac:dyDescent="0.25">
      <c r="A2179" t="s">
        <v>4284</v>
      </c>
      <c r="B2179">
        <v>0</v>
      </c>
      <c r="C2179">
        <v>4450</v>
      </c>
    </row>
    <row r="2180" spans="1:3" x14ac:dyDescent="0.25">
      <c r="A2180" t="s">
        <v>4285</v>
      </c>
      <c r="B2180">
        <v>4</v>
      </c>
      <c r="C2180">
        <v>14900</v>
      </c>
    </row>
    <row r="2181" spans="1:3" x14ac:dyDescent="0.25">
      <c r="A2181" t="s">
        <v>4286</v>
      </c>
      <c r="B2181">
        <v>0</v>
      </c>
      <c r="C2181">
        <v>0</v>
      </c>
    </row>
    <row r="2182" spans="1:3" x14ac:dyDescent="0.25">
      <c r="A2182" t="s">
        <v>4287</v>
      </c>
      <c r="B2182">
        <v>0</v>
      </c>
      <c r="C2182">
        <v>4450</v>
      </c>
    </row>
    <row r="2183" spans="1:3" x14ac:dyDescent="0.25">
      <c r="A2183" t="s">
        <v>4288</v>
      </c>
      <c r="B2183">
        <v>0</v>
      </c>
      <c r="C2183">
        <v>1600</v>
      </c>
    </row>
    <row r="2184" spans="1:3" x14ac:dyDescent="0.25">
      <c r="A2184" t="s">
        <v>4289</v>
      </c>
      <c r="B2184">
        <v>0</v>
      </c>
      <c r="C2184">
        <v>6200</v>
      </c>
    </row>
    <row r="2185" spans="1:3" x14ac:dyDescent="0.25">
      <c r="A2185" t="s">
        <v>4290</v>
      </c>
      <c r="B2185">
        <v>0</v>
      </c>
      <c r="C2185">
        <v>18000</v>
      </c>
    </row>
    <row r="2186" spans="1:3" x14ac:dyDescent="0.25">
      <c r="A2186" t="s">
        <v>4291</v>
      </c>
      <c r="B2186">
        <v>0</v>
      </c>
      <c r="C2186">
        <v>4500</v>
      </c>
    </row>
    <row r="2187" spans="1:3" x14ac:dyDescent="0.25">
      <c r="A2187" t="s">
        <v>4292</v>
      </c>
      <c r="B2187">
        <v>0</v>
      </c>
      <c r="C2187">
        <v>16800</v>
      </c>
    </row>
    <row r="2188" spans="1:3" x14ac:dyDescent="0.25">
      <c r="A2188" t="s">
        <v>4293</v>
      </c>
      <c r="B2188">
        <v>100</v>
      </c>
      <c r="C2188">
        <v>1730</v>
      </c>
    </row>
    <row r="2189" spans="1:3" x14ac:dyDescent="0.25">
      <c r="A2189" t="s">
        <v>4294</v>
      </c>
      <c r="B2189">
        <v>0</v>
      </c>
      <c r="C2189">
        <v>6150</v>
      </c>
    </row>
    <row r="2190" spans="1:3" x14ac:dyDescent="0.25">
      <c r="A2190" t="s">
        <v>4295</v>
      </c>
      <c r="B2190">
        <v>0</v>
      </c>
      <c r="C2190">
        <v>3400</v>
      </c>
    </row>
    <row r="2191" spans="1:3" x14ac:dyDescent="0.25">
      <c r="A2191" t="s">
        <v>4296</v>
      </c>
      <c r="B2191">
        <v>0</v>
      </c>
      <c r="C2191">
        <v>43000</v>
      </c>
    </row>
    <row r="2192" spans="1:3" x14ac:dyDescent="0.25">
      <c r="A2192" t="s">
        <v>4297</v>
      </c>
      <c r="B2192">
        <v>2</v>
      </c>
      <c r="C2192">
        <v>560</v>
      </c>
    </row>
    <row r="2193" spans="1:3" x14ac:dyDescent="0.25">
      <c r="A2193" t="s">
        <v>4298</v>
      </c>
      <c r="B2193">
        <v>443</v>
      </c>
      <c r="C2193">
        <v>1600</v>
      </c>
    </row>
    <row r="2194" spans="1:3" x14ac:dyDescent="0.25">
      <c r="A2194" t="s">
        <v>4299</v>
      </c>
      <c r="B2194">
        <v>0</v>
      </c>
      <c r="C2194">
        <v>1400</v>
      </c>
    </row>
    <row r="2195" spans="1:3" x14ac:dyDescent="0.25">
      <c r="A2195" t="s">
        <v>4300</v>
      </c>
      <c r="B2195">
        <v>0</v>
      </c>
      <c r="C2195">
        <v>1350</v>
      </c>
    </row>
    <row r="2196" spans="1:3" x14ac:dyDescent="0.25">
      <c r="A2196" t="s">
        <v>4301</v>
      </c>
      <c r="B2196">
        <v>0</v>
      </c>
      <c r="C2196">
        <v>0</v>
      </c>
    </row>
    <row r="2197" spans="1:3" x14ac:dyDescent="0.25">
      <c r="A2197" t="s">
        <v>4302</v>
      </c>
      <c r="B2197">
        <v>0</v>
      </c>
      <c r="C2197">
        <v>4450</v>
      </c>
    </row>
    <row r="2198" spans="1:3" x14ac:dyDescent="0.25">
      <c r="A2198" t="s">
        <v>4303</v>
      </c>
      <c r="B2198">
        <v>0</v>
      </c>
      <c r="C2198">
        <v>4450</v>
      </c>
    </row>
    <row r="2199" spans="1:3" x14ac:dyDescent="0.25">
      <c r="A2199" t="s">
        <v>4304</v>
      </c>
      <c r="B2199">
        <v>0</v>
      </c>
      <c r="C2199">
        <v>4450</v>
      </c>
    </row>
    <row r="2200" spans="1:3" x14ac:dyDescent="0.25">
      <c r="A2200" t="s">
        <v>4305</v>
      </c>
      <c r="B2200">
        <v>0</v>
      </c>
      <c r="C2200">
        <v>4450</v>
      </c>
    </row>
    <row r="2201" spans="1:3" x14ac:dyDescent="0.25">
      <c r="A2201" t="s">
        <v>4306</v>
      </c>
      <c r="B2201">
        <v>0</v>
      </c>
      <c r="C2201">
        <v>4450</v>
      </c>
    </row>
    <row r="2202" spans="1:3" x14ac:dyDescent="0.25">
      <c r="A2202" t="s">
        <v>4307</v>
      </c>
      <c r="B2202">
        <v>0</v>
      </c>
      <c r="C2202">
        <v>4450</v>
      </c>
    </row>
    <row r="2203" spans="1:3" x14ac:dyDescent="0.25">
      <c r="A2203" t="s">
        <v>4308</v>
      </c>
      <c r="B2203">
        <v>0</v>
      </c>
      <c r="C2203">
        <v>4450</v>
      </c>
    </row>
    <row r="2204" spans="1:3" x14ac:dyDescent="0.25">
      <c r="A2204" t="s">
        <v>4309</v>
      </c>
      <c r="B2204">
        <v>0</v>
      </c>
      <c r="C2204">
        <v>4450</v>
      </c>
    </row>
    <row r="2205" spans="1:3" x14ac:dyDescent="0.25">
      <c r="A2205" t="s">
        <v>4310</v>
      </c>
      <c r="B2205">
        <v>0</v>
      </c>
      <c r="C2205">
        <v>4450</v>
      </c>
    </row>
    <row r="2206" spans="1:3" x14ac:dyDescent="0.25">
      <c r="A2206" t="s">
        <v>4311</v>
      </c>
      <c r="B2206">
        <v>0</v>
      </c>
      <c r="C2206">
        <v>4450</v>
      </c>
    </row>
    <row r="2207" spans="1:3" x14ac:dyDescent="0.25">
      <c r="A2207" t="s">
        <v>4312</v>
      </c>
      <c r="B2207">
        <v>0</v>
      </c>
      <c r="C2207">
        <v>4450</v>
      </c>
    </row>
    <row r="2208" spans="1:3" x14ac:dyDescent="0.25">
      <c r="A2208" t="s">
        <v>4313</v>
      </c>
      <c r="B2208">
        <v>0</v>
      </c>
      <c r="C2208">
        <v>4450</v>
      </c>
    </row>
    <row r="2209" spans="1:3" x14ac:dyDescent="0.25">
      <c r="A2209" t="s">
        <v>4314</v>
      </c>
      <c r="B2209">
        <v>150</v>
      </c>
      <c r="C2209">
        <v>1850</v>
      </c>
    </row>
    <row r="2210" spans="1:3" x14ac:dyDescent="0.25">
      <c r="A2210" t="s">
        <v>4315</v>
      </c>
      <c r="B2210">
        <v>1</v>
      </c>
      <c r="C2210">
        <v>11750</v>
      </c>
    </row>
    <row r="2211" spans="1:3" x14ac:dyDescent="0.25">
      <c r="A2211" t="s">
        <v>4316</v>
      </c>
      <c r="B2211">
        <v>703</v>
      </c>
      <c r="C2211">
        <v>7200</v>
      </c>
    </row>
    <row r="2212" spans="1:3" x14ac:dyDescent="0.25">
      <c r="A2212" t="s">
        <v>16</v>
      </c>
      <c r="B2212">
        <v>22</v>
      </c>
      <c r="C2212">
        <v>2200</v>
      </c>
    </row>
    <row r="2213" spans="1:3" x14ac:dyDescent="0.25">
      <c r="A2213" t="s">
        <v>17</v>
      </c>
      <c r="B2213">
        <v>4</v>
      </c>
      <c r="C2213">
        <v>4800</v>
      </c>
    </row>
    <row r="2214" spans="1:3" x14ac:dyDescent="0.25">
      <c r="A2214" t="s">
        <v>4317</v>
      </c>
      <c r="B2214">
        <v>25</v>
      </c>
      <c r="C2214">
        <v>8700</v>
      </c>
    </row>
    <row r="2215" spans="1:3" x14ac:dyDescent="0.25">
      <c r="A2215" t="s">
        <v>18</v>
      </c>
      <c r="B2215">
        <v>2098</v>
      </c>
      <c r="C2215">
        <v>7200</v>
      </c>
    </row>
    <row r="2216" spans="1:3" x14ac:dyDescent="0.25">
      <c r="A2216" t="s">
        <v>4318</v>
      </c>
      <c r="B2216">
        <v>962</v>
      </c>
      <c r="C2216">
        <v>7200</v>
      </c>
    </row>
    <row r="2217" spans="1:3" x14ac:dyDescent="0.25">
      <c r="A2217" t="s">
        <v>4319</v>
      </c>
      <c r="B2217">
        <v>0</v>
      </c>
      <c r="C2217">
        <v>0</v>
      </c>
    </row>
    <row r="2218" spans="1:3" x14ac:dyDescent="0.25">
      <c r="A2218" t="s">
        <v>4320</v>
      </c>
      <c r="B2218">
        <v>0</v>
      </c>
      <c r="C2218">
        <v>550</v>
      </c>
    </row>
    <row r="2219" spans="1:3" x14ac:dyDescent="0.25">
      <c r="A2219" t="s">
        <v>4321</v>
      </c>
      <c r="B2219">
        <v>0</v>
      </c>
      <c r="C2219">
        <v>3550</v>
      </c>
    </row>
    <row r="2220" spans="1:3" x14ac:dyDescent="0.25">
      <c r="A2220" t="s">
        <v>4322</v>
      </c>
      <c r="B2220">
        <v>0</v>
      </c>
      <c r="C2220">
        <v>1730</v>
      </c>
    </row>
    <row r="2221" spans="1:3" x14ac:dyDescent="0.25">
      <c r="A2221" t="s">
        <v>4323</v>
      </c>
      <c r="B2221">
        <v>0</v>
      </c>
      <c r="C2221">
        <v>0</v>
      </c>
    </row>
    <row r="2222" spans="1:3" x14ac:dyDescent="0.25">
      <c r="A2222" t="s">
        <v>4324</v>
      </c>
      <c r="B2222">
        <v>0</v>
      </c>
      <c r="C2222">
        <v>4200</v>
      </c>
    </row>
    <row r="2223" spans="1:3" x14ac:dyDescent="0.25">
      <c r="A2223" t="s">
        <v>4325</v>
      </c>
      <c r="B2223">
        <v>0</v>
      </c>
      <c r="C2223">
        <v>2300</v>
      </c>
    </row>
    <row r="2224" spans="1:3" x14ac:dyDescent="0.25">
      <c r="A2224" t="s">
        <v>4326</v>
      </c>
      <c r="B2224">
        <v>0</v>
      </c>
      <c r="C2224">
        <v>7700</v>
      </c>
    </row>
    <row r="2225" spans="1:3" x14ac:dyDescent="0.25">
      <c r="A2225" t="s">
        <v>4327</v>
      </c>
      <c r="B2225">
        <v>0</v>
      </c>
      <c r="C2225">
        <v>1050</v>
      </c>
    </row>
    <row r="2226" spans="1:3" x14ac:dyDescent="0.25">
      <c r="A2226" t="s">
        <v>19</v>
      </c>
      <c r="B2226">
        <v>15</v>
      </c>
      <c r="C2226">
        <v>650</v>
      </c>
    </row>
    <row r="2227" spans="1:3" x14ac:dyDescent="0.25">
      <c r="A2227" t="s">
        <v>4328</v>
      </c>
      <c r="B2227">
        <v>0</v>
      </c>
      <c r="C2227">
        <v>0</v>
      </c>
    </row>
    <row r="2228" spans="1:3" x14ac:dyDescent="0.25">
      <c r="A2228" t="s">
        <v>4329</v>
      </c>
      <c r="B2228">
        <v>770</v>
      </c>
      <c r="C2228">
        <v>8500</v>
      </c>
    </row>
    <row r="2229" spans="1:3" x14ac:dyDescent="0.25">
      <c r="A2229" t="s">
        <v>4330</v>
      </c>
      <c r="B2229">
        <v>46</v>
      </c>
      <c r="C2229">
        <v>7500</v>
      </c>
    </row>
    <row r="2230" spans="1:3" x14ac:dyDescent="0.25">
      <c r="A2230" t="s">
        <v>4331</v>
      </c>
      <c r="B2230">
        <v>0</v>
      </c>
      <c r="C2230">
        <v>10900</v>
      </c>
    </row>
    <row r="2231" spans="1:3" x14ac:dyDescent="0.25">
      <c r="A2231" t="s">
        <v>4332</v>
      </c>
      <c r="B2231">
        <v>1</v>
      </c>
      <c r="C2231">
        <v>1050</v>
      </c>
    </row>
    <row r="2232" spans="1:3" x14ac:dyDescent="0.25">
      <c r="A2232" t="s">
        <v>4333</v>
      </c>
      <c r="B2232">
        <v>1</v>
      </c>
      <c r="C2232">
        <v>675</v>
      </c>
    </row>
    <row r="2233" spans="1:3" x14ac:dyDescent="0.25">
      <c r="A2233" t="s">
        <v>4334</v>
      </c>
      <c r="B2233">
        <v>516</v>
      </c>
      <c r="C2233">
        <v>7200</v>
      </c>
    </row>
    <row r="2234" spans="1:3" x14ac:dyDescent="0.25">
      <c r="A2234" t="s">
        <v>4335</v>
      </c>
      <c r="B2234">
        <v>5</v>
      </c>
      <c r="C2234">
        <v>17650</v>
      </c>
    </row>
    <row r="2235" spans="1:3" x14ac:dyDescent="0.25">
      <c r="A2235" t="s">
        <v>4336</v>
      </c>
      <c r="B2235">
        <v>0</v>
      </c>
      <c r="C2235">
        <v>2150</v>
      </c>
    </row>
    <row r="2236" spans="1:3" x14ac:dyDescent="0.25">
      <c r="A2236" t="s">
        <v>4337</v>
      </c>
      <c r="B2236">
        <v>0.8</v>
      </c>
      <c r="C2236">
        <v>1850</v>
      </c>
    </row>
    <row r="2237" spans="1:3" x14ac:dyDescent="0.25">
      <c r="A2237" t="s">
        <v>4338</v>
      </c>
      <c r="B2237">
        <v>0</v>
      </c>
      <c r="C2237">
        <v>2150</v>
      </c>
    </row>
    <row r="2238" spans="1:3" x14ac:dyDescent="0.25">
      <c r="A2238" t="s">
        <v>4339</v>
      </c>
      <c r="B2238">
        <v>1</v>
      </c>
      <c r="C2238">
        <v>8800</v>
      </c>
    </row>
    <row r="2239" spans="1:3" x14ac:dyDescent="0.25">
      <c r="A2239" t="s">
        <v>4340</v>
      </c>
      <c r="B2239">
        <v>4</v>
      </c>
      <c r="C2239">
        <v>2800</v>
      </c>
    </row>
    <row r="2240" spans="1:3" x14ac:dyDescent="0.25">
      <c r="A2240" t="s">
        <v>4341</v>
      </c>
      <c r="B2240">
        <v>0</v>
      </c>
      <c r="C2240">
        <v>1550</v>
      </c>
    </row>
    <row r="2241" spans="1:3" x14ac:dyDescent="0.25">
      <c r="A2241" t="s">
        <v>4342</v>
      </c>
      <c r="B2241">
        <v>0</v>
      </c>
      <c r="C2241">
        <v>4700</v>
      </c>
    </row>
    <row r="2242" spans="1:3" x14ac:dyDescent="0.25">
      <c r="A2242" t="s">
        <v>4343</v>
      </c>
      <c r="B2242">
        <v>0</v>
      </c>
      <c r="C2242">
        <v>0</v>
      </c>
    </row>
    <row r="2243" spans="1:3" x14ac:dyDescent="0.25">
      <c r="A2243" t="s">
        <v>4344</v>
      </c>
      <c r="B2243">
        <v>0</v>
      </c>
      <c r="C2243">
        <v>0</v>
      </c>
    </row>
    <row r="2244" spans="1:3" x14ac:dyDescent="0.25">
      <c r="A2244" t="s">
        <v>4345</v>
      </c>
      <c r="B2244">
        <v>0</v>
      </c>
      <c r="C2244">
        <v>8460</v>
      </c>
    </row>
    <row r="2245" spans="1:3" x14ac:dyDescent="0.25">
      <c r="A2245" t="s">
        <v>4346</v>
      </c>
      <c r="B2245">
        <v>0</v>
      </c>
      <c r="C2245">
        <v>4050</v>
      </c>
    </row>
    <row r="2246" spans="1:3" x14ac:dyDescent="0.25">
      <c r="A2246" t="s">
        <v>4347</v>
      </c>
      <c r="B2246">
        <v>129</v>
      </c>
      <c r="C2246">
        <v>8200</v>
      </c>
    </row>
    <row r="2247" spans="1:3" x14ac:dyDescent="0.25">
      <c r="A2247" t="s">
        <v>4348</v>
      </c>
      <c r="B2247">
        <v>40</v>
      </c>
      <c r="C2247">
        <v>600</v>
      </c>
    </row>
    <row r="2248" spans="1:3" x14ac:dyDescent="0.25">
      <c r="A2248" t="s">
        <v>4349</v>
      </c>
      <c r="B2248">
        <v>100</v>
      </c>
      <c r="C2248">
        <v>1550</v>
      </c>
    </row>
    <row r="2249" spans="1:3" x14ac:dyDescent="0.25">
      <c r="A2249" t="s">
        <v>4350</v>
      </c>
      <c r="B2249">
        <v>0</v>
      </c>
      <c r="C2249">
        <v>900</v>
      </c>
    </row>
    <row r="2250" spans="1:3" x14ac:dyDescent="0.25">
      <c r="A2250" t="s">
        <v>4351</v>
      </c>
      <c r="B2250">
        <v>0</v>
      </c>
      <c r="C2250">
        <v>0</v>
      </c>
    </row>
    <row r="2251" spans="1:3" x14ac:dyDescent="0.25">
      <c r="A2251" t="s">
        <v>4352</v>
      </c>
      <c r="B2251">
        <v>49</v>
      </c>
      <c r="C2251">
        <v>2750</v>
      </c>
    </row>
    <row r="2252" spans="1:3" x14ac:dyDescent="0.25">
      <c r="A2252" t="s">
        <v>4353</v>
      </c>
      <c r="B2252">
        <v>0</v>
      </c>
      <c r="C2252">
        <v>1320</v>
      </c>
    </row>
    <row r="2253" spans="1:3" x14ac:dyDescent="0.25">
      <c r="A2253" t="s">
        <v>4354</v>
      </c>
      <c r="B2253">
        <v>0</v>
      </c>
      <c r="C2253">
        <v>0</v>
      </c>
    </row>
    <row r="2254" spans="1:3" x14ac:dyDescent="0.25">
      <c r="A2254" t="s">
        <v>4355</v>
      </c>
      <c r="B2254">
        <v>281</v>
      </c>
      <c r="C2254">
        <v>4600</v>
      </c>
    </row>
    <row r="2255" spans="1:3" x14ac:dyDescent="0.25">
      <c r="A2255" t="s">
        <v>4356</v>
      </c>
      <c r="B2255">
        <v>33</v>
      </c>
      <c r="C2255">
        <v>17400</v>
      </c>
    </row>
    <row r="2256" spans="1:3" x14ac:dyDescent="0.25">
      <c r="A2256" t="s">
        <v>4357</v>
      </c>
      <c r="B2256">
        <v>0</v>
      </c>
      <c r="C2256">
        <v>2300</v>
      </c>
    </row>
    <row r="2257" spans="1:3" x14ac:dyDescent="0.25">
      <c r="A2257" t="s">
        <v>4358</v>
      </c>
      <c r="B2257">
        <v>0</v>
      </c>
      <c r="C2257">
        <v>0</v>
      </c>
    </row>
    <row r="2258" spans="1:3" x14ac:dyDescent="0.25">
      <c r="A2258" t="s">
        <v>4359</v>
      </c>
      <c r="B2258">
        <v>0</v>
      </c>
      <c r="C2258">
        <v>5800</v>
      </c>
    </row>
    <row r="2259" spans="1:3" x14ac:dyDescent="0.25">
      <c r="A2259" t="s">
        <v>4360</v>
      </c>
      <c r="B2259">
        <v>1300</v>
      </c>
      <c r="C2259">
        <v>1450</v>
      </c>
    </row>
    <row r="2260" spans="1:3" x14ac:dyDescent="0.25">
      <c r="A2260" t="s">
        <v>4361</v>
      </c>
      <c r="B2260">
        <v>0</v>
      </c>
      <c r="C2260">
        <v>1000</v>
      </c>
    </row>
    <row r="2261" spans="1:3" x14ac:dyDescent="0.25">
      <c r="A2261" t="s">
        <v>4362</v>
      </c>
      <c r="B2261">
        <v>49</v>
      </c>
      <c r="C2261">
        <v>9500</v>
      </c>
    </row>
    <row r="2262" spans="1:3" x14ac:dyDescent="0.25">
      <c r="A2262" t="s">
        <v>4363</v>
      </c>
      <c r="B2262">
        <v>4</v>
      </c>
      <c r="C2262">
        <v>6200</v>
      </c>
    </row>
    <row r="2263" spans="1:3" x14ac:dyDescent="0.25">
      <c r="A2263" t="s">
        <v>4364</v>
      </c>
      <c r="B2263">
        <v>0</v>
      </c>
      <c r="C2263">
        <v>4150</v>
      </c>
    </row>
    <row r="2264" spans="1:3" x14ac:dyDescent="0.25">
      <c r="A2264" t="s">
        <v>4365</v>
      </c>
      <c r="B2264">
        <v>0</v>
      </c>
      <c r="C2264">
        <v>0</v>
      </c>
    </row>
    <row r="2265" spans="1:3" x14ac:dyDescent="0.25">
      <c r="A2265" t="s">
        <v>4366</v>
      </c>
      <c r="B2265">
        <v>15</v>
      </c>
      <c r="C2265">
        <v>1900</v>
      </c>
    </row>
    <row r="2266" spans="1:3" x14ac:dyDescent="0.25">
      <c r="A2266" t="s">
        <v>4367</v>
      </c>
      <c r="B2266">
        <v>8</v>
      </c>
      <c r="C2266">
        <v>8700</v>
      </c>
    </row>
    <row r="2267" spans="1:3" x14ac:dyDescent="0.25">
      <c r="A2267" t="s">
        <v>4368</v>
      </c>
      <c r="B2267">
        <v>0</v>
      </c>
      <c r="C2267">
        <v>0</v>
      </c>
    </row>
    <row r="2268" spans="1:3" x14ac:dyDescent="0.25">
      <c r="A2268" t="s">
        <v>4369</v>
      </c>
      <c r="B2268">
        <v>0</v>
      </c>
      <c r="C2268">
        <v>0</v>
      </c>
    </row>
    <row r="2269" spans="1:3" x14ac:dyDescent="0.25">
      <c r="A2269" t="s">
        <v>4370</v>
      </c>
      <c r="B2269">
        <v>0</v>
      </c>
      <c r="C2269">
        <v>0</v>
      </c>
    </row>
    <row r="2270" spans="1:3" x14ac:dyDescent="0.25">
      <c r="A2270" t="s">
        <v>4371</v>
      </c>
      <c r="B2270">
        <v>51</v>
      </c>
      <c r="C2270">
        <v>3400</v>
      </c>
    </row>
    <row r="2271" spans="1:3" x14ac:dyDescent="0.25">
      <c r="A2271" t="s">
        <v>4372</v>
      </c>
      <c r="B2271">
        <v>0</v>
      </c>
      <c r="C2271">
        <v>0</v>
      </c>
    </row>
    <row r="2272" spans="1:3" x14ac:dyDescent="0.25">
      <c r="A2272" t="s">
        <v>4373</v>
      </c>
      <c r="B2272">
        <v>0</v>
      </c>
      <c r="C2272">
        <v>0</v>
      </c>
    </row>
    <row r="2273" spans="1:3" x14ac:dyDescent="0.25">
      <c r="A2273" t="s">
        <v>4374</v>
      </c>
      <c r="B2273">
        <v>44</v>
      </c>
      <c r="C2273">
        <v>8900</v>
      </c>
    </row>
    <row r="2274" spans="1:3" x14ac:dyDescent="0.25">
      <c r="A2274" t="s">
        <v>4375</v>
      </c>
      <c r="B2274">
        <v>85</v>
      </c>
      <c r="C2274">
        <v>6200</v>
      </c>
    </row>
    <row r="2275" spans="1:3" x14ac:dyDescent="0.25">
      <c r="A2275" t="s">
        <v>4376</v>
      </c>
      <c r="B2275">
        <v>0</v>
      </c>
      <c r="C2275">
        <v>2000</v>
      </c>
    </row>
    <row r="2276" spans="1:3" x14ac:dyDescent="0.25">
      <c r="A2276" t="s">
        <v>4377</v>
      </c>
      <c r="B2276">
        <v>0</v>
      </c>
      <c r="C2276">
        <v>6050</v>
      </c>
    </row>
    <row r="2277" spans="1:3" x14ac:dyDescent="0.25">
      <c r="A2277" t="s">
        <v>4378</v>
      </c>
      <c r="B2277">
        <v>25</v>
      </c>
      <c r="C2277">
        <v>6300</v>
      </c>
    </row>
    <row r="2278" spans="1:3" x14ac:dyDescent="0.25">
      <c r="A2278" t="s">
        <v>4379</v>
      </c>
      <c r="B2278">
        <v>30</v>
      </c>
      <c r="C2278">
        <v>16400</v>
      </c>
    </row>
    <row r="2279" spans="1:3" x14ac:dyDescent="0.25">
      <c r="A2279" t="s">
        <v>4380</v>
      </c>
      <c r="B2279">
        <v>245</v>
      </c>
      <c r="C2279">
        <v>4350</v>
      </c>
    </row>
    <row r="2280" spans="1:3" x14ac:dyDescent="0.25">
      <c r="A2280" t="s">
        <v>4381</v>
      </c>
      <c r="B2280">
        <v>0</v>
      </c>
      <c r="C2280">
        <v>11350</v>
      </c>
    </row>
    <row r="2281" spans="1:3" x14ac:dyDescent="0.25">
      <c r="A2281" t="s">
        <v>4382</v>
      </c>
      <c r="B2281">
        <v>1</v>
      </c>
      <c r="C2281">
        <v>8450</v>
      </c>
    </row>
    <row r="2282" spans="1:3" x14ac:dyDescent="0.25">
      <c r="A2282" t="s">
        <v>4383</v>
      </c>
      <c r="B2282">
        <v>1300</v>
      </c>
      <c r="C2282">
        <v>2150</v>
      </c>
    </row>
    <row r="2283" spans="1:3" x14ac:dyDescent="0.25">
      <c r="A2283" t="s">
        <v>4384</v>
      </c>
      <c r="B2283">
        <v>65</v>
      </c>
      <c r="C2283">
        <v>9900</v>
      </c>
    </row>
    <row r="2284" spans="1:3" x14ac:dyDescent="0.25">
      <c r="A2284" t="s">
        <v>4385</v>
      </c>
      <c r="B2284">
        <v>0</v>
      </c>
      <c r="C2284">
        <v>0</v>
      </c>
    </row>
    <row r="2285" spans="1:3" x14ac:dyDescent="0.25">
      <c r="A2285" t="s">
        <v>4386</v>
      </c>
      <c r="B2285">
        <v>0</v>
      </c>
      <c r="C2285">
        <v>0</v>
      </c>
    </row>
    <row r="2286" spans="1:3" x14ac:dyDescent="0.25">
      <c r="A2286" t="s">
        <v>4387</v>
      </c>
      <c r="B2286">
        <v>0</v>
      </c>
      <c r="C2286">
        <v>6050</v>
      </c>
    </row>
    <row r="2287" spans="1:3" x14ac:dyDescent="0.25">
      <c r="A2287" t="s">
        <v>4388</v>
      </c>
      <c r="B2287">
        <v>0</v>
      </c>
      <c r="C2287">
        <v>4350</v>
      </c>
    </row>
    <row r="2288" spans="1:3" x14ac:dyDescent="0.25">
      <c r="A2288" t="s">
        <v>4389</v>
      </c>
      <c r="B2288">
        <v>235.4</v>
      </c>
      <c r="C2288">
        <v>3000</v>
      </c>
    </row>
    <row r="2289" spans="1:3" x14ac:dyDescent="0.25">
      <c r="A2289" t="s">
        <v>97</v>
      </c>
      <c r="B2289">
        <v>661</v>
      </c>
      <c r="C2289">
        <v>15000</v>
      </c>
    </row>
    <row r="2290" spans="1:3" x14ac:dyDescent="0.25">
      <c r="A2290" t="s">
        <v>4390</v>
      </c>
      <c r="B2290">
        <v>1</v>
      </c>
      <c r="C2290">
        <v>6350</v>
      </c>
    </row>
    <row r="2291" spans="1:3" x14ac:dyDescent="0.25">
      <c r="A2291" t="s">
        <v>4391</v>
      </c>
      <c r="B2291">
        <v>74</v>
      </c>
      <c r="C2291">
        <v>7950</v>
      </c>
    </row>
    <row r="2292" spans="1:3" x14ac:dyDescent="0.25">
      <c r="A2292" t="s">
        <v>4392</v>
      </c>
      <c r="B2292">
        <v>3</v>
      </c>
      <c r="C2292">
        <v>21250</v>
      </c>
    </row>
    <row r="2293" spans="1:3" x14ac:dyDescent="0.25">
      <c r="A2293" t="s">
        <v>86</v>
      </c>
      <c r="B2293">
        <v>0</v>
      </c>
      <c r="C2293">
        <v>12400</v>
      </c>
    </row>
    <row r="2294" spans="1:3" x14ac:dyDescent="0.25">
      <c r="A2294" t="s">
        <v>4393</v>
      </c>
      <c r="B2294">
        <v>2</v>
      </c>
      <c r="C2294">
        <v>900</v>
      </c>
    </row>
    <row r="2295" spans="1:3" x14ac:dyDescent="0.25">
      <c r="A2295" t="s">
        <v>4394</v>
      </c>
      <c r="B2295">
        <v>0</v>
      </c>
      <c r="C2295">
        <v>11200</v>
      </c>
    </row>
    <row r="2296" spans="1:3" x14ac:dyDescent="0.25">
      <c r="A2296" t="s">
        <v>4395</v>
      </c>
      <c r="B2296">
        <v>0</v>
      </c>
      <c r="C2296">
        <v>11400</v>
      </c>
    </row>
    <row r="2297" spans="1:3" x14ac:dyDescent="0.25">
      <c r="A2297" t="s">
        <v>4396</v>
      </c>
      <c r="B2297">
        <v>0</v>
      </c>
      <c r="C2297">
        <v>6400</v>
      </c>
    </row>
    <row r="2298" spans="1:3" x14ac:dyDescent="0.25">
      <c r="A2298" t="s">
        <v>4397</v>
      </c>
      <c r="B2298">
        <v>6</v>
      </c>
      <c r="C2298">
        <v>4650</v>
      </c>
    </row>
    <row r="2299" spans="1:3" x14ac:dyDescent="0.25">
      <c r="A2299" t="s">
        <v>4398</v>
      </c>
      <c r="B2299">
        <v>9</v>
      </c>
      <c r="C2299">
        <v>2450</v>
      </c>
    </row>
    <row r="2300" spans="1:3" x14ac:dyDescent="0.25">
      <c r="A2300" t="s">
        <v>4399</v>
      </c>
      <c r="B2300">
        <v>0</v>
      </c>
      <c r="C2300">
        <v>6300</v>
      </c>
    </row>
    <row r="2301" spans="1:3" x14ac:dyDescent="0.25">
      <c r="A2301" t="s">
        <v>4400</v>
      </c>
      <c r="B2301">
        <v>0</v>
      </c>
      <c r="C2301">
        <v>3850</v>
      </c>
    </row>
    <row r="2302" spans="1:3" x14ac:dyDescent="0.25">
      <c r="A2302" t="s">
        <v>4401</v>
      </c>
      <c r="B2302">
        <v>0</v>
      </c>
      <c r="C2302">
        <v>7000</v>
      </c>
    </row>
    <row r="2303" spans="1:3" x14ac:dyDescent="0.25">
      <c r="A2303" t="s">
        <v>4402</v>
      </c>
      <c r="B2303">
        <v>0</v>
      </c>
      <c r="C2303">
        <v>320</v>
      </c>
    </row>
    <row r="2304" spans="1:3" x14ac:dyDescent="0.25">
      <c r="A2304" t="s">
        <v>4403</v>
      </c>
      <c r="B2304">
        <v>50</v>
      </c>
      <c r="C2304">
        <v>500</v>
      </c>
    </row>
    <row r="2305" spans="1:3" x14ac:dyDescent="0.25">
      <c r="A2305" t="s">
        <v>4404</v>
      </c>
      <c r="B2305">
        <v>17.5</v>
      </c>
      <c r="C2305">
        <v>1450</v>
      </c>
    </row>
    <row r="2306" spans="1:3" x14ac:dyDescent="0.25">
      <c r="A2306" t="s">
        <v>4405</v>
      </c>
      <c r="B2306">
        <v>1</v>
      </c>
      <c r="C2306">
        <v>3150</v>
      </c>
    </row>
    <row r="2307" spans="1:3" x14ac:dyDescent="0.25">
      <c r="A2307" t="s">
        <v>4406</v>
      </c>
      <c r="B2307">
        <v>220</v>
      </c>
      <c r="C2307">
        <v>9900</v>
      </c>
    </row>
    <row r="2308" spans="1:3" x14ac:dyDescent="0.25">
      <c r="A2308" t="s">
        <v>4407</v>
      </c>
      <c r="B2308">
        <v>57</v>
      </c>
      <c r="C2308">
        <v>6700</v>
      </c>
    </row>
    <row r="2309" spans="1:3" x14ac:dyDescent="0.25">
      <c r="A2309" t="s">
        <v>4408</v>
      </c>
      <c r="B2309">
        <v>0</v>
      </c>
      <c r="C2309">
        <v>4500</v>
      </c>
    </row>
    <row r="2310" spans="1:3" x14ac:dyDescent="0.25">
      <c r="A2310" t="s">
        <v>4409</v>
      </c>
      <c r="B2310">
        <v>16</v>
      </c>
      <c r="C2310">
        <v>3050</v>
      </c>
    </row>
    <row r="2311" spans="1:3" x14ac:dyDescent="0.25">
      <c r="A2311" t="s">
        <v>4410</v>
      </c>
      <c r="B2311">
        <v>0</v>
      </c>
      <c r="C2311">
        <v>1750</v>
      </c>
    </row>
    <row r="2312" spans="1:3" x14ac:dyDescent="0.25">
      <c r="A2312" t="s">
        <v>4411</v>
      </c>
      <c r="B2312">
        <v>1</v>
      </c>
      <c r="C2312">
        <v>2250</v>
      </c>
    </row>
    <row r="2313" spans="1:3" x14ac:dyDescent="0.25">
      <c r="A2313" t="s">
        <v>4412</v>
      </c>
      <c r="B2313">
        <v>2</v>
      </c>
      <c r="C2313">
        <v>29000</v>
      </c>
    </row>
    <row r="2314" spans="1:3" x14ac:dyDescent="0.25">
      <c r="A2314" t="s">
        <v>4413</v>
      </c>
      <c r="B2314">
        <v>0</v>
      </c>
      <c r="C2314">
        <v>6550</v>
      </c>
    </row>
    <row r="2315" spans="1:3" x14ac:dyDescent="0.25">
      <c r="A2315" t="s">
        <v>4414</v>
      </c>
      <c r="B2315">
        <v>4</v>
      </c>
      <c r="C2315">
        <v>4550</v>
      </c>
    </row>
    <row r="2316" spans="1:3" x14ac:dyDescent="0.25">
      <c r="A2316" t="s">
        <v>4415</v>
      </c>
      <c r="B2316">
        <v>43</v>
      </c>
      <c r="C2316">
        <v>5300</v>
      </c>
    </row>
    <row r="2317" spans="1:3" x14ac:dyDescent="0.25">
      <c r="A2317" t="s">
        <v>4416</v>
      </c>
      <c r="B2317">
        <v>16</v>
      </c>
      <c r="C2317">
        <v>13750</v>
      </c>
    </row>
    <row r="2318" spans="1:3" x14ac:dyDescent="0.25">
      <c r="A2318" t="s">
        <v>4417</v>
      </c>
      <c r="B2318">
        <v>0</v>
      </c>
      <c r="C2318">
        <v>36250</v>
      </c>
    </row>
    <row r="2319" spans="1:3" x14ac:dyDescent="0.25">
      <c r="A2319" t="s">
        <v>4418</v>
      </c>
      <c r="B2319">
        <v>712</v>
      </c>
      <c r="C2319">
        <v>8700</v>
      </c>
    </row>
    <row r="2320" spans="1:3" x14ac:dyDescent="0.25">
      <c r="A2320" t="s">
        <v>4419</v>
      </c>
      <c r="B2320">
        <v>200</v>
      </c>
      <c r="C2320">
        <v>2250</v>
      </c>
    </row>
    <row r="2321" spans="1:3" x14ac:dyDescent="0.25">
      <c r="A2321" t="s">
        <v>4420</v>
      </c>
      <c r="B2321">
        <v>155</v>
      </c>
      <c r="C2321">
        <v>180</v>
      </c>
    </row>
    <row r="2322" spans="1:3" x14ac:dyDescent="0.25">
      <c r="A2322" t="s">
        <v>4421</v>
      </c>
      <c r="B2322">
        <v>1</v>
      </c>
      <c r="C2322">
        <v>5050</v>
      </c>
    </row>
    <row r="2323" spans="1:3" x14ac:dyDescent="0.25">
      <c r="A2323" t="s">
        <v>4422</v>
      </c>
      <c r="B2323">
        <v>0</v>
      </c>
      <c r="C2323">
        <v>1000</v>
      </c>
    </row>
    <row r="2324" spans="1:3" x14ac:dyDescent="0.25">
      <c r="A2324" t="s">
        <v>4423</v>
      </c>
      <c r="B2324">
        <v>0</v>
      </c>
      <c r="C2324">
        <v>4350</v>
      </c>
    </row>
    <row r="2325" spans="1:3" x14ac:dyDescent="0.25">
      <c r="A2325" t="s">
        <v>4424</v>
      </c>
      <c r="B2325">
        <v>0</v>
      </c>
      <c r="C2325">
        <v>5800</v>
      </c>
    </row>
    <row r="2326" spans="1:3" x14ac:dyDescent="0.25">
      <c r="A2326" t="s">
        <v>4425</v>
      </c>
      <c r="B2326">
        <v>0</v>
      </c>
      <c r="C2326">
        <v>7250</v>
      </c>
    </row>
    <row r="2327" spans="1:3" x14ac:dyDescent="0.25">
      <c r="A2327" t="s">
        <v>4426</v>
      </c>
      <c r="B2327">
        <v>1</v>
      </c>
      <c r="C2327">
        <v>6350</v>
      </c>
    </row>
    <row r="2328" spans="1:3" x14ac:dyDescent="0.25">
      <c r="A2328" t="s">
        <v>4427</v>
      </c>
      <c r="B2328">
        <v>18</v>
      </c>
      <c r="C2328">
        <v>950</v>
      </c>
    </row>
    <row r="2329" spans="1:3" x14ac:dyDescent="0.25">
      <c r="A2329" t="s">
        <v>4428</v>
      </c>
      <c r="B2329">
        <v>45</v>
      </c>
      <c r="C2329">
        <v>1300</v>
      </c>
    </row>
    <row r="2330" spans="1:3" x14ac:dyDescent="0.25">
      <c r="A2330" t="s">
        <v>4429</v>
      </c>
      <c r="B2330">
        <v>20</v>
      </c>
      <c r="C2330">
        <v>11750</v>
      </c>
    </row>
    <row r="2331" spans="1:3" x14ac:dyDescent="0.25">
      <c r="A2331" t="s">
        <v>4430</v>
      </c>
      <c r="B2331">
        <v>583</v>
      </c>
      <c r="C2331">
        <v>6100</v>
      </c>
    </row>
    <row r="2332" spans="1:3" x14ac:dyDescent="0.25">
      <c r="A2332" t="s">
        <v>4431</v>
      </c>
      <c r="B2332">
        <v>226</v>
      </c>
      <c r="C2332">
        <v>9750</v>
      </c>
    </row>
    <row r="2333" spans="1:3" x14ac:dyDescent="0.25">
      <c r="A2333" t="s">
        <v>4432</v>
      </c>
      <c r="B2333">
        <v>5</v>
      </c>
      <c r="C2333">
        <v>4300</v>
      </c>
    </row>
    <row r="2334" spans="1:3" x14ac:dyDescent="0.25">
      <c r="A2334" t="s">
        <v>4433</v>
      </c>
      <c r="B2334">
        <v>50</v>
      </c>
      <c r="C2334">
        <v>8150</v>
      </c>
    </row>
    <row r="2335" spans="1:3" x14ac:dyDescent="0.25">
      <c r="A2335" t="s">
        <v>4434</v>
      </c>
      <c r="B2335">
        <v>70</v>
      </c>
      <c r="C2335">
        <v>5700</v>
      </c>
    </row>
    <row r="2336" spans="1:3" x14ac:dyDescent="0.25">
      <c r="A2336" t="s">
        <v>4435</v>
      </c>
      <c r="B2336">
        <v>56</v>
      </c>
      <c r="C2336">
        <v>4250</v>
      </c>
    </row>
    <row r="2337" spans="1:3" x14ac:dyDescent="0.25">
      <c r="A2337" t="s">
        <v>4436</v>
      </c>
      <c r="B2337">
        <v>0</v>
      </c>
      <c r="C2337">
        <v>250</v>
      </c>
    </row>
    <row r="2338" spans="1:3" x14ac:dyDescent="0.25">
      <c r="A2338" t="s">
        <v>4437</v>
      </c>
      <c r="B2338">
        <v>1</v>
      </c>
      <c r="C2338">
        <v>5850</v>
      </c>
    </row>
    <row r="2339" spans="1:3" x14ac:dyDescent="0.25">
      <c r="A2339" t="s">
        <v>4439</v>
      </c>
      <c r="B2339">
        <v>0</v>
      </c>
      <c r="C2339">
        <v>450</v>
      </c>
    </row>
    <row r="2340" spans="1:3" x14ac:dyDescent="0.25">
      <c r="A2340" t="s">
        <v>4440</v>
      </c>
      <c r="B2340">
        <v>1</v>
      </c>
      <c r="C2340">
        <v>1</v>
      </c>
    </row>
    <row r="2341" spans="1:3" x14ac:dyDescent="0.25">
      <c r="A2341" t="s">
        <v>4441</v>
      </c>
      <c r="B2341">
        <v>118</v>
      </c>
      <c r="C2341">
        <v>5600</v>
      </c>
    </row>
    <row r="2342" spans="1:3" x14ac:dyDescent="0.25">
      <c r="A2342" t="s">
        <v>4442</v>
      </c>
      <c r="B2342">
        <v>0</v>
      </c>
      <c r="C2342">
        <v>0</v>
      </c>
    </row>
    <row r="2343" spans="1:3" x14ac:dyDescent="0.25">
      <c r="A2343" t="s">
        <v>4443</v>
      </c>
      <c r="B2343">
        <v>0</v>
      </c>
      <c r="C2343">
        <v>16000</v>
      </c>
    </row>
    <row r="2344" spans="1:3" x14ac:dyDescent="0.25">
      <c r="A2344" t="s">
        <v>4444</v>
      </c>
      <c r="B2344">
        <v>829</v>
      </c>
      <c r="C2344">
        <v>2500</v>
      </c>
    </row>
    <row r="2345" spans="1:3" x14ac:dyDescent="0.25">
      <c r="A2345" t="s">
        <v>4445</v>
      </c>
      <c r="B2345">
        <v>36</v>
      </c>
      <c r="C2345">
        <v>3500</v>
      </c>
    </row>
    <row r="2346" spans="1:3" x14ac:dyDescent="0.25">
      <c r="A2346" t="s">
        <v>4446</v>
      </c>
      <c r="B2346">
        <v>353</v>
      </c>
      <c r="C2346">
        <v>7500</v>
      </c>
    </row>
    <row r="2347" spans="1:3" x14ac:dyDescent="0.25">
      <c r="A2347" t="s">
        <v>4447</v>
      </c>
      <c r="B2347">
        <v>3</v>
      </c>
      <c r="C2347">
        <v>7850</v>
      </c>
    </row>
    <row r="2348" spans="1:3" x14ac:dyDescent="0.25">
      <c r="A2348" t="s">
        <v>4448</v>
      </c>
      <c r="B2348">
        <v>2</v>
      </c>
      <c r="C2348">
        <v>3650</v>
      </c>
    </row>
    <row r="2349" spans="1:3" x14ac:dyDescent="0.25">
      <c r="A2349" t="s">
        <v>4449</v>
      </c>
      <c r="B2349">
        <v>285</v>
      </c>
      <c r="C2349">
        <v>2550</v>
      </c>
    </row>
    <row r="2350" spans="1:3" x14ac:dyDescent="0.25">
      <c r="A2350" t="s">
        <v>4450</v>
      </c>
      <c r="B2350">
        <v>2</v>
      </c>
      <c r="C2350">
        <v>5250</v>
      </c>
    </row>
    <row r="2351" spans="1:3" x14ac:dyDescent="0.25">
      <c r="A2351" t="s">
        <v>4451</v>
      </c>
      <c r="B2351">
        <v>1</v>
      </c>
      <c r="C2351">
        <v>6400</v>
      </c>
    </row>
    <row r="2352" spans="1:3" x14ac:dyDescent="0.25">
      <c r="A2352" t="s">
        <v>4452</v>
      </c>
      <c r="B2352">
        <v>37</v>
      </c>
      <c r="C2352">
        <v>7650</v>
      </c>
    </row>
    <row r="2353" spans="1:3" x14ac:dyDescent="0.25">
      <c r="A2353" t="s">
        <v>4453</v>
      </c>
      <c r="B2353">
        <v>3</v>
      </c>
      <c r="C2353">
        <v>8900</v>
      </c>
    </row>
    <row r="2354" spans="1:3" x14ac:dyDescent="0.25">
      <c r="A2354" t="s">
        <v>4454</v>
      </c>
      <c r="B2354">
        <v>2</v>
      </c>
      <c r="C2354">
        <v>10200</v>
      </c>
    </row>
    <row r="2355" spans="1:3" x14ac:dyDescent="0.25">
      <c r="A2355" t="s">
        <v>4455</v>
      </c>
      <c r="B2355">
        <v>2</v>
      </c>
      <c r="C2355">
        <v>14250</v>
      </c>
    </row>
    <row r="2356" spans="1:3" x14ac:dyDescent="0.25">
      <c r="A2356" t="s">
        <v>4456</v>
      </c>
      <c r="B2356">
        <v>28</v>
      </c>
      <c r="C2356">
        <v>4250</v>
      </c>
    </row>
    <row r="2357" spans="1:3" x14ac:dyDescent="0.25">
      <c r="A2357" t="s">
        <v>4457</v>
      </c>
      <c r="B2357">
        <v>6</v>
      </c>
      <c r="C2357">
        <v>37000</v>
      </c>
    </row>
    <row r="2358" spans="1:3" x14ac:dyDescent="0.25">
      <c r="A2358" t="s">
        <v>4458</v>
      </c>
      <c r="B2358">
        <v>9</v>
      </c>
      <c r="C2358">
        <v>7600</v>
      </c>
    </row>
    <row r="2359" spans="1:3" x14ac:dyDescent="0.25">
      <c r="A2359" t="s">
        <v>4459</v>
      </c>
      <c r="B2359">
        <v>14</v>
      </c>
      <c r="C2359">
        <v>9500</v>
      </c>
    </row>
    <row r="2360" spans="1:3" x14ac:dyDescent="0.25">
      <c r="A2360" t="s">
        <v>4460</v>
      </c>
      <c r="B2360">
        <v>2</v>
      </c>
      <c r="C2360">
        <v>10500</v>
      </c>
    </row>
    <row r="2361" spans="1:3" x14ac:dyDescent="0.25">
      <c r="A2361" t="s">
        <v>4461</v>
      </c>
      <c r="B2361">
        <v>0</v>
      </c>
      <c r="C2361">
        <v>300</v>
      </c>
    </row>
    <row r="2362" spans="1:3" x14ac:dyDescent="0.25">
      <c r="A2362" t="s">
        <v>4462</v>
      </c>
      <c r="B2362">
        <v>5</v>
      </c>
      <c r="C2362">
        <v>300</v>
      </c>
    </row>
    <row r="2363" spans="1:3" x14ac:dyDescent="0.25">
      <c r="A2363" t="s">
        <v>4463</v>
      </c>
      <c r="B2363">
        <v>0</v>
      </c>
      <c r="C2363">
        <v>7200</v>
      </c>
    </row>
    <row r="2364" spans="1:3" x14ac:dyDescent="0.25">
      <c r="A2364" t="s">
        <v>84</v>
      </c>
      <c r="B2364">
        <v>400</v>
      </c>
      <c r="C2364">
        <v>1850</v>
      </c>
    </row>
    <row r="2365" spans="1:3" x14ac:dyDescent="0.25">
      <c r="A2365" t="s">
        <v>89</v>
      </c>
      <c r="B2365">
        <v>2200</v>
      </c>
      <c r="C2365">
        <v>575</v>
      </c>
    </row>
    <row r="2366" spans="1:3" x14ac:dyDescent="0.25">
      <c r="A2366" t="s">
        <v>4464</v>
      </c>
      <c r="B2366">
        <v>355</v>
      </c>
      <c r="C2366">
        <v>12000</v>
      </c>
    </row>
    <row r="2367" spans="1:3" x14ac:dyDescent="0.25">
      <c r="A2367" t="s">
        <v>90</v>
      </c>
      <c r="B2367">
        <v>5</v>
      </c>
      <c r="C2367">
        <v>4700</v>
      </c>
    </row>
    <row r="2368" spans="1:3" x14ac:dyDescent="0.25">
      <c r="A2368" t="s">
        <v>87</v>
      </c>
      <c r="B2368">
        <v>1</v>
      </c>
      <c r="C2368">
        <v>3300</v>
      </c>
    </row>
    <row r="2369" spans="1:3" x14ac:dyDescent="0.25">
      <c r="A2369" t="s">
        <v>4465</v>
      </c>
      <c r="B2369">
        <v>0</v>
      </c>
      <c r="C2369">
        <v>0</v>
      </c>
    </row>
    <row r="2370" spans="1:3" x14ac:dyDescent="0.25">
      <c r="A2370" t="s">
        <v>4466</v>
      </c>
      <c r="B2370">
        <v>0</v>
      </c>
      <c r="C2370">
        <v>5170</v>
      </c>
    </row>
    <row r="2371" spans="1:3" x14ac:dyDescent="0.25">
      <c r="A2371" t="s">
        <v>4467</v>
      </c>
      <c r="B2371">
        <v>0</v>
      </c>
      <c r="C2371">
        <v>6110</v>
      </c>
    </row>
    <row r="2372" spans="1:3" x14ac:dyDescent="0.25">
      <c r="A2372" t="s">
        <v>4468</v>
      </c>
      <c r="B2372">
        <v>0</v>
      </c>
      <c r="C2372">
        <v>6580</v>
      </c>
    </row>
    <row r="2373" spans="1:3" x14ac:dyDescent="0.25">
      <c r="A2373" t="s">
        <v>4469</v>
      </c>
      <c r="B2373">
        <v>0</v>
      </c>
      <c r="C2373">
        <v>7050</v>
      </c>
    </row>
    <row r="2374" spans="1:3" x14ac:dyDescent="0.25">
      <c r="A2374" t="s">
        <v>4470</v>
      </c>
      <c r="B2374">
        <v>0</v>
      </c>
      <c r="C2374">
        <v>12600</v>
      </c>
    </row>
    <row r="2375" spans="1:3" x14ac:dyDescent="0.25">
      <c r="A2375" t="s">
        <v>4473</v>
      </c>
      <c r="B2375">
        <v>2</v>
      </c>
      <c r="C2375">
        <v>2550</v>
      </c>
    </row>
    <row r="2376" spans="1:3" x14ac:dyDescent="0.25">
      <c r="A2376" t="s">
        <v>4474</v>
      </c>
      <c r="B2376">
        <v>0</v>
      </c>
      <c r="C2376">
        <v>2000</v>
      </c>
    </row>
    <row r="2377" spans="1:3" x14ac:dyDescent="0.25">
      <c r="A2377" t="s">
        <v>4475</v>
      </c>
      <c r="B2377">
        <v>0</v>
      </c>
      <c r="C2377">
        <v>2000</v>
      </c>
    </row>
    <row r="2378" spans="1:3" x14ac:dyDescent="0.25">
      <c r="A2378" t="s">
        <v>4476</v>
      </c>
      <c r="B2378">
        <v>1</v>
      </c>
      <c r="C2378">
        <v>20000</v>
      </c>
    </row>
    <row r="2379" spans="1:3" x14ac:dyDescent="0.25">
      <c r="A2379" t="s">
        <v>4477</v>
      </c>
      <c r="B2379">
        <v>14</v>
      </c>
      <c r="C2379">
        <v>4600</v>
      </c>
    </row>
    <row r="2380" spans="1:3" x14ac:dyDescent="0.25">
      <c r="A2380" t="s">
        <v>4478</v>
      </c>
      <c r="B2380">
        <v>59</v>
      </c>
      <c r="C2380">
        <v>18800</v>
      </c>
    </row>
    <row r="2381" spans="1:3" x14ac:dyDescent="0.25">
      <c r="A2381" t="s">
        <v>4479</v>
      </c>
      <c r="B2381">
        <v>1</v>
      </c>
      <c r="C2381">
        <v>4500</v>
      </c>
    </row>
    <row r="2382" spans="1:3" x14ac:dyDescent="0.25">
      <c r="A2382" t="s">
        <v>4480</v>
      </c>
      <c r="B2382">
        <v>0</v>
      </c>
      <c r="C2382">
        <v>1320</v>
      </c>
    </row>
    <row r="2383" spans="1:3" x14ac:dyDescent="0.25">
      <c r="A2383" t="s">
        <v>4481</v>
      </c>
      <c r="B2383">
        <v>0</v>
      </c>
      <c r="C2383">
        <v>0</v>
      </c>
    </row>
    <row r="2384" spans="1:3" x14ac:dyDescent="0.25">
      <c r="A2384" t="s">
        <v>4490</v>
      </c>
      <c r="B2384">
        <v>5</v>
      </c>
      <c r="C2384">
        <v>3400</v>
      </c>
    </row>
    <row r="2385" spans="1:3" x14ac:dyDescent="0.25">
      <c r="A2385" t="s">
        <v>4489</v>
      </c>
      <c r="B2385">
        <v>13</v>
      </c>
      <c r="C2385">
        <v>4050</v>
      </c>
    </row>
    <row r="2386" spans="1:3" x14ac:dyDescent="0.25">
      <c r="A2386" t="s">
        <v>4483</v>
      </c>
      <c r="B2386">
        <v>1</v>
      </c>
      <c r="C2386">
        <v>2800</v>
      </c>
    </row>
    <row r="2387" spans="1:3" x14ac:dyDescent="0.25">
      <c r="A2387" t="s">
        <v>4484</v>
      </c>
      <c r="B2387">
        <v>0</v>
      </c>
      <c r="C2387">
        <v>6240</v>
      </c>
    </row>
    <row r="2388" spans="1:3" x14ac:dyDescent="0.25">
      <c r="A2388" t="s">
        <v>4485</v>
      </c>
      <c r="B2388">
        <v>0</v>
      </c>
      <c r="C2388">
        <v>7280</v>
      </c>
    </row>
    <row r="2389" spans="1:3" x14ac:dyDescent="0.25">
      <c r="A2389" t="s">
        <v>4486</v>
      </c>
      <c r="B2389">
        <v>0</v>
      </c>
      <c r="C2389">
        <v>9360</v>
      </c>
    </row>
    <row r="2390" spans="1:3" x14ac:dyDescent="0.25">
      <c r="A2390" t="s">
        <v>4487</v>
      </c>
      <c r="B2390">
        <v>0</v>
      </c>
      <c r="C2390">
        <v>4400</v>
      </c>
    </row>
    <row r="2391" spans="1:3" x14ac:dyDescent="0.25">
      <c r="A2391" t="s">
        <v>4488</v>
      </c>
      <c r="B2391">
        <v>0</v>
      </c>
      <c r="C2391">
        <v>6450</v>
      </c>
    </row>
    <row r="2392" spans="1:3" x14ac:dyDescent="0.25">
      <c r="A2392" t="s">
        <v>4492</v>
      </c>
      <c r="B2392">
        <v>0</v>
      </c>
      <c r="C2392">
        <v>9880</v>
      </c>
    </row>
    <row r="2393" spans="1:3" x14ac:dyDescent="0.25">
      <c r="A2393" t="s">
        <v>4493</v>
      </c>
      <c r="B2393">
        <v>0</v>
      </c>
      <c r="C2393">
        <v>1550</v>
      </c>
    </row>
    <row r="2394" spans="1:3" x14ac:dyDescent="0.25">
      <c r="A2394" t="s">
        <v>4496</v>
      </c>
      <c r="B2394">
        <v>2</v>
      </c>
      <c r="C2394">
        <v>11500</v>
      </c>
    </row>
    <row r="2395" spans="1:3" x14ac:dyDescent="0.25">
      <c r="A2395" t="s">
        <v>4497</v>
      </c>
      <c r="B2395">
        <v>111</v>
      </c>
      <c r="C2395">
        <v>8800</v>
      </c>
    </row>
    <row r="2396" spans="1:3" x14ac:dyDescent="0.25">
      <c r="A2396" t="s">
        <v>4498</v>
      </c>
      <c r="B2396">
        <v>259</v>
      </c>
      <c r="C2396">
        <v>3750</v>
      </c>
    </row>
    <row r="2397" spans="1:3" x14ac:dyDescent="0.25">
      <c r="A2397" t="s">
        <v>4499</v>
      </c>
      <c r="B2397">
        <v>0</v>
      </c>
      <c r="C2397">
        <v>250</v>
      </c>
    </row>
    <row r="2398" spans="1:3" x14ac:dyDescent="0.25">
      <c r="A2398" t="s">
        <v>4500</v>
      </c>
      <c r="B2398">
        <v>13</v>
      </c>
      <c r="C2398">
        <v>4100</v>
      </c>
    </row>
    <row r="2399" spans="1:3" x14ac:dyDescent="0.25">
      <c r="A2399" t="s">
        <v>4501</v>
      </c>
      <c r="B2399">
        <v>1</v>
      </c>
      <c r="C2399">
        <v>17250</v>
      </c>
    </row>
    <row r="2400" spans="1:3" x14ac:dyDescent="0.25">
      <c r="A2400" t="s">
        <v>4502</v>
      </c>
      <c r="B2400">
        <v>0</v>
      </c>
      <c r="C2400">
        <v>1550</v>
      </c>
    </row>
    <row r="2401" spans="1:3" x14ac:dyDescent="0.25">
      <c r="A2401" t="s">
        <v>4503</v>
      </c>
      <c r="B2401">
        <v>6</v>
      </c>
      <c r="C2401">
        <v>12600</v>
      </c>
    </row>
    <row r="2402" spans="1:3" x14ac:dyDescent="0.25">
      <c r="A2402" t="s">
        <v>4504</v>
      </c>
      <c r="B2402">
        <v>1</v>
      </c>
      <c r="C2402">
        <v>0</v>
      </c>
    </row>
    <row r="2403" spans="1:3" x14ac:dyDescent="0.25">
      <c r="A2403" t="s">
        <v>4505</v>
      </c>
      <c r="B2403">
        <v>83</v>
      </c>
      <c r="C2403">
        <v>27000</v>
      </c>
    </row>
    <row r="2404" spans="1:3" x14ac:dyDescent="0.25">
      <c r="A2404" t="s">
        <v>4506</v>
      </c>
      <c r="B2404">
        <v>0</v>
      </c>
      <c r="C2404">
        <v>40000</v>
      </c>
    </row>
    <row r="2405" spans="1:3" x14ac:dyDescent="0.25">
      <c r="A2405" t="s">
        <v>4507</v>
      </c>
      <c r="B2405">
        <v>21</v>
      </c>
      <c r="C2405">
        <v>1750</v>
      </c>
    </row>
    <row r="2406" spans="1:3" x14ac:dyDescent="0.25">
      <c r="A2406" t="s">
        <v>4508</v>
      </c>
      <c r="B2406">
        <v>33</v>
      </c>
      <c r="C2406">
        <v>6350</v>
      </c>
    </row>
    <row r="2407" spans="1:3" x14ac:dyDescent="0.25">
      <c r="A2407" t="s">
        <v>4509</v>
      </c>
      <c r="B2407">
        <v>0</v>
      </c>
      <c r="C2407">
        <v>0</v>
      </c>
    </row>
    <row r="2408" spans="1:3" x14ac:dyDescent="0.25">
      <c r="A2408" t="s">
        <v>4510</v>
      </c>
      <c r="B2408">
        <v>0</v>
      </c>
      <c r="C2408">
        <v>1750</v>
      </c>
    </row>
    <row r="2409" spans="1:3" x14ac:dyDescent="0.25">
      <c r="A2409" t="s">
        <v>4511</v>
      </c>
      <c r="B2409">
        <v>0</v>
      </c>
      <c r="C2409">
        <v>140</v>
      </c>
    </row>
    <row r="2410" spans="1:3" x14ac:dyDescent="0.25">
      <c r="A2410" t="s">
        <v>4512</v>
      </c>
      <c r="B2410">
        <v>15</v>
      </c>
      <c r="C2410">
        <v>21000</v>
      </c>
    </row>
    <row r="2411" spans="1:3" x14ac:dyDescent="0.25">
      <c r="A2411" t="s">
        <v>4513</v>
      </c>
      <c r="B2411">
        <v>8</v>
      </c>
      <c r="C2411">
        <v>17000</v>
      </c>
    </row>
    <row r="2412" spans="1:3" x14ac:dyDescent="0.25">
      <c r="A2412" t="s">
        <v>4514</v>
      </c>
      <c r="B2412">
        <v>18</v>
      </c>
      <c r="C2412">
        <v>29000</v>
      </c>
    </row>
    <row r="2413" spans="1:3" x14ac:dyDescent="0.25">
      <c r="A2413" t="s">
        <v>4515</v>
      </c>
      <c r="B2413">
        <v>311</v>
      </c>
      <c r="C2413">
        <v>9400</v>
      </c>
    </row>
    <row r="2414" spans="1:3" x14ac:dyDescent="0.25">
      <c r="A2414" t="s">
        <v>4516</v>
      </c>
      <c r="B2414">
        <v>115</v>
      </c>
      <c r="C2414">
        <v>7900</v>
      </c>
    </row>
    <row r="2415" spans="1:3" x14ac:dyDescent="0.25">
      <c r="A2415" t="s">
        <v>4517</v>
      </c>
      <c r="B2415">
        <v>19</v>
      </c>
      <c r="C2415">
        <v>5450</v>
      </c>
    </row>
    <row r="2416" spans="1:3" x14ac:dyDescent="0.25">
      <c r="A2416" t="s">
        <v>4518</v>
      </c>
      <c r="B2416">
        <v>14</v>
      </c>
      <c r="C2416">
        <v>32000</v>
      </c>
    </row>
    <row r="2417" spans="1:3" x14ac:dyDescent="0.25">
      <c r="A2417" t="s">
        <v>4519</v>
      </c>
      <c r="B2417">
        <v>990</v>
      </c>
      <c r="C2417">
        <v>1050</v>
      </c>
    </row>
    <row r="2418" spans="1:3" x14ac:dyDescent="0.25">
      <c r="A2418" t="s">
        <v>4520</v>
      </c>
      <c r="B2418">
        <v>0</v>
      </c>
      <c r="C2418">
        <v>6850</v>
      </c>
    </row>
    <row r="2419" spans="1:3" x14ac:dyDescent="0.25">
      <c r="A2419" t="s">
        <v>4521</v>
      </c>
      <c r="B2419">
        <v>79</v>
      </c>
      <c r="C2419">
        <v>4750</v>
      </c>
    </row>
    <row r="2420" spans="1:3" x14ac:dyDescent="0.25">
      <c r="A2420" t="s">
        <v>4522</v>
      </c>
      <c r="B2420">
        <v>58</v>
      </c>
      <c r="C2420">
        <v>20000</v>
      </c>
    </row>
    <row r="2421" spans="1:3" x14ac:dyDescent="0.25">
      <c r="A2421" t="s">
        <v>4523</v>
      </c>
      <c r="B2421">
        <v>0</v>
      </c>
      <c r="C2421">
        <v>3000</v>
      </c>
    </row>
    <row r="2422" spans="1:3" x14ac:dyDescent="0.25">
      <c r="A2422" t="s">
        <v>4524</v>
      </c>
      <c r="B2422">
        <v>57</v>
      </c>
      <c r="C2422">
        <v>3800</v>
      </c>
    </row>
    <row r="2423" spans="1:3" x14ac:dyDescent="0.25">
      <c r="A2423" t="s">
        <v>4525</v>
      </c>
      <c r="B2423">
        <v>2</v>
      </c>
      <c r="C2423">
        <v>12500</v>
      </c>
    </row>
    <row r="2424" spans="1:3" x14ac:dyDescent="0.25">
      <c r="A2424" t="s">
        <v>4526</v>
      </c>
      <c r="B2424">
        <v>9</v>
      </c>
      <c r="C2424">
        <v>650</v>
      </c>
    </row>
    <row r="2425" spans="1:3" x14ac:dyDescent="0.25">
      <c r="A2425" t="s">
        <v>4527</v>
      </c>
      <c r="B2425">
        <v>343.8</v>
      </c>
      <c r="C2425">
        <v>2000</v>
      </c>
    </row>
    <row r="2426" spans="1:3" x14ac:dyDescent="0.25">
      <c r="A2426" t="s">
        <v>4529</v>
      </c>
      <c r="B2426">
        <v>0</v>
      </c>
      <c r="C2426">
        <v>4450</v>
      </c>
    </row>
    <row r="2427" spans="1:3" x14ac:dyDescent="0.25">
      <c r="A2427" t="s">
        <v>4530</v>
      </c>
      <c r="B2427">
        <v>0</v>
      </c>
      <c r="C2427">
        <v>4450</v>
      </c>
    </row>
    <row r="2428" spans="1:3" x14ac:dyDescent="0.25">
      <c r="A2428" t="s">
        <v>4528</v>
      </c>
      <c r="B2428">
        <v>0</v>
      </c>
      <c r="C2428">
        <v>4450</v>
      </c>
    </row>
    <row r="2429" spans="1:3" x14ac:dyDescent="0.25">
      <c r="A2429" t="s">
        <v>4533</v>
      </c>
      <c r="B2429">
        <v>0</v>
      </c>
      <c r="C2429">
        <v>0</v>
      </c>
    </row>
    <row r="2430" spans="1:3" x14ac:dyDescent="0.25">
      <c r="A2430" t="s">
        <v>4540</v>
      </c>
      <c r="B2430">
        <v>30</v>
      </c>
      <c r="C2430">
        <v>170</v>
      </c>
    </row>
    <row r="2431" spans="1:3" x14ac:dyDescent="0.25">
      <c r="A2431" t="s">
        <v>4534</v>
      </c>
      <c r="B2431">
        <v>11</v>
      </c>
      <c r="C2431">
        <v>3600</v>
      </c>
    </row>
    <row r="2432" spans="1:3" x14ac:dyDescent="0.25">
      <c r="A2432" t="s">
        <v>4535</v>
      </c>
      <c r="B2432">
        <v>1</v>
      </c>
      <c r="C2432">
        <v>4300</v>
      </c>
    </row>
    <row r="2433" spans="1:3" x14ac:dyDescent="0.25">
      <c r="A2433" t="s">
        <v>4536</v>
      </c>
      <c r="B2433">
        <v>74</v>
      </c>
      <c r="C2433">
        <v>6300</v>
      </c>
    </row>
    <row r="2434" spans="1:3" x14ac:dyDescent="0.25">
      <c r="A2434" t="s">
        <v>4537</v>
      </c>
      <c r="B2434">
        <v>164</v>
      </c>
      <c r="C2434">
        <v>15000</v>
      </c>
    </row>
    <row r="2435" spans="1:3" x14ac:dyDescent="0.25">
      <c r="A2435" t="s">
        <v>4538</v>
      </c>
      <c r="B2435">
        <v>1</v>
      </c>
      <c r="C2435">
        <v>15750</v>
      </c>
    </row>
    <row r="2436" spans="1:3" x14ac:dyDescent="0.25">
      <c r="A2436" t="s">
        <v>4539</v>
      </c>
      <c r="B2436">
        <v>470</v>
      </c>
      <c r="C2436">
        <v>3000</v>
      </c>
    </row>
    <row r="2437" spans="1:3" x14ac:dyDescent="0.25">
      <c r="A2437" t="s">
        <v>4541</v>
      </c>
      <c r="B2437">
        <v>1</v>
      </c>
      <c r="C2437">
        <v>3750</v>
      </c>
    </row>
    <row r="2438" spans="1:3" x14ac:dyDescent="0.25">
      <c r="A2438" t="s">
        <v>4542</v>
      </c>
      <c r="B2438">
        <v>1</v>
      </c>
      <c r="C2438">
        <v>6250</v>
      </c>
    </row>
    <row r="2439" spans="1:3" x14ac:dyDescent="0.25">
      <c r="A2439" t="s">
        <v>4543</v>
      </c>
      <c r="B2439">
        <v>1</v>
      </c>
      <c r="C2439">
        <v>32750</v>
      </c>
    </row>
    <row r="2440" spans="1:3" x14ac:dyDescent="0.25">
      <c r="A2440" t="s">
        <v>4544</v>
      </c>
      <c r="B2440">
        <v>2</v>
      </c>
      <c r="C2440">
        <v>47500</v>
      </c>
    </row>
    <row r="2441" spans="1:3" x14ac:dyDescent="0.25">
      <c r="A2441" t="s">
        <v>4545</v>
      </c>
      <c r="B2441">
        <v>0</v>
      </c>
      <c r="C2441">
        <v>37500</v>
      </c>
    </row>
    <row r="2442" spans="1:3" x14ac:dyDescent="0.25">
      <c r="A2442" t="s">
        <v>4546</v>
      </c>
      <c r="B2442">
        <v>6</v>
      </c>
      <c r="C2442">
        <v>50000</v>
      </c>
    </row>
    <row r="2443" spans="1:3" x14ac:dyDescent="0.25">
      <c r="A2443" t="s">
        <v>4547</v>
      </c>
      <c r="B2443">
        <v>2</v>
      </c>
      <c r="C2443">
        <v>1250</v>
      </c>
    </row>
    <row r="2444" spans="1:3" x14ac:dyDescent="0.25">
      <c r="A2444" t="s">
        <v>4548</v>
      </c>
      <c r="B2444">
        <v>1</v>
      </c>
      <c r="C2444">
        <v>3100</v>
      </c>
    </row>
    <row r="2445" spans="1:3" x14ac:dyDescent="0.25">
      <c r="A2445" t="s">
        <v>4549</v>
      </c>
      <c r="B2445">
        <v>154</v>
      </c>
      <c r="C2445">
        <v>5750</v>
      </c>
    </row>
    <row r="2446" spans="1:3" x14ac:dyDescent="0.25">
      <c r="A2446" t="s">
        <v>4550</v>
      </c>
      <c r="B2446">
        <v>1</v>
      </c>
      <c r="C2446">
        <v>4200</v>
      </c>
    </row>
    <row r="2447" spans="1:3" x14ac:dyDescent="0.25">
      <c r="A2447" t="s">
        <v>4551</v>
      </c>
      <c r="B2447">
        <v>0</v>
      </c>
      <c r="C2447">
        <v>7250</v>
      </c>
    </row>
    <row r="2448" spans="1:3" x14ac:dyDescent="0.25">
      <c r="A2448" t="s">
        <v>4552</v>
      </c>
      <c r="B2448">
        <v>194</v>
      </c>
      <c r="C2448">
        <v>11500</v>
      </c>
    </row>
    <row r="2449" spans="1:3" x14ac:dyDescent="0.25">
      <c r="A2449" t="s">
        <v>4553</v>
      </c>
      <c r="B2449">
        <v>9</v>
      </c>
      <c r="C2449">
        <v>2400</v>
      </c>
    </row>
    <row r="2450" spans="1:3" x14ac:dyDescent="0.25">
      <c r="A2450" t="s">
        <v>4554</v>
      </c>
      <c r="B2450">
        <v>0</v>
      </c>
      <c r="C2450">
        <v>3200</v>
      </c>
    </row>
    <row r="2451" spans="1:3" x14ac:dyDescent="0.25">
      <c r="A2451" t="s">
        <v>4555</v>
      </c>
      <c r="B2451">
        <v>345</v>
      </c>
      <c r="C2451">
        <v>3800</v>
      </c>
    </row>
    <row r="2452" spans="1:3" x14ac:dyDescent="0.25">
      <c r="A2452" t="s">
        <v>4556</v>
      </c>
      <c r="B2452">
        <v>5</v>
      </c>
      <c r="C2452">
        <v>3450</v>
      </c>
    </row>
    <row r="2453" spans="1:3" x14ac:dyDescent="0.25">
      <c r="A2453" t="s">
        <v>4557</v>
      </c>
      <c r="B2453">
        <v>0</v>
      </c>
      <c r="C2453">
        <v>1000</v>
      </c>
    </row>
    <row r="2454" spans="1:3" x14ac:dyDescent="0.25">
      <c r="A2454" t="s">
        <v>4558</v>
      </c>
      <c r="B2454">
        <v>99</v>
      </c>
      <c r="C2454">
        <v>3150</v>
      </c>
    </row>
    <row r="2455" spans="1:3" x14ac:dyDescent="0.25">
      <c r="A2455" t="s">
        <v>4559</v>
      </c>
      <c r="B2455">
        <v>1</v>
      </c>
      <c r="C2455">
        <v>7500</v>
      </c>
    </row>
    <row r="2456" spans="1:3" x14ac:dyDescent="0.25">
      <c r="A2456" t="s">
        <v>4560</v>
      </c>
      <c r="B2456">
        <v>41</v>
      </c>
      <c r="C2456">
        <v>2500</v>
      </c>
    </row>
    <row r="2457" spans="1:3" x14ac:dyDescent="0.25">
      <c r="A2457" t="s">
        <v>4561</v>
      </c>
      <c r="B2457">
        <v>187.5</v>
      </c>
      <c r="C2457">
        <v>1950</v>
      </c>
    </row>
    <row r="2458" spans="1:3" x14ac:dyDescent="0.25">
      <c r="A2458" t="s">
        <v>4562</v>
      </c>
      <c r="B2458">
        <v>271</v>
      </c>
      <c r="C2458">
        <v>12000</v>
      </c>
    </row>
    <row r="2459" spans="1:3" x14ac:dyDescent="0.25">
      <c r="A2459" t="s">
        <v>4563</v>
      </c>
      <c r="B2459">
        <v>15</v>
      </c>
      <c r="C2459">
        <v>27000</v>
      </c>
    </row>
    <row r="2460" spans="1:3" x14ac:dyDescent="0.25">
      <c r="A2460" t="s">
        <v>4564</v>
      </c>
      <c r="B2460">
        <v>13</v>
      </c>
      <c r="C2460">
        <v>44000</v>
      </c>
    </row>
    <row r="2461" spans="1:3" x14ac:dyDescent="0.25">
      <c r="A2461" t="s">
        <v>4565</v>
      </c>
      <c r="B2461">
        <v>1</v>
      </c>
      <c r="C2461">
        <v>1400</v>
      </c>
    </row>
    <row r="2462" spans="1:3" x14ac:dyDescent="0.25">
      <c r="A2462" t="s">
        <v>4566</v>
      </c>
      <c r="B2462">
        <v>0</v>
      </c>
      <c r="C2462">
        <v>320</v>
      </c>
    </row>
    <row r="2463" spans="1:3" x14ac:dyDescent="0.25">
      <c r="A2463" t="s">
        <v>4567</v>
      </c>
      <c r="B2463">
        <v>1800</v>
      </c>
      <c r="C2463">
        <v>500</v>
      </c>
    </row>
    <row r="2464" spans="1:3" x14ac:dyDescent="0.25">
      <c r="A2464" t="s">
        <v>4571</v>
      </c>
      <c r="B2464">
        <v>13</v>
      </c>
      <c r="C2464">
        <v>35000</v>
      </c>
    </row>
    <row r="2465" spans="1:3" x14ac:dyDescent="0.25">
      <c r="A2465" t="s">
        <v>4575</v>
      </c>
      <c r="B2465">
        <v>7</v>
      </c>
      <c r="C2465">
        <v>0</v>
      </c>
    </row>
    <row r="2466" spans="1:3" x14ac:dyDescent="0.25">
      <c r="A2466" t="s">
        <v>4576</v>
      </c>
      <c r="B2466">
        <v>21</v>
      </c>
      <c r="C2466">
        <v>0</v>
      </c>
    </row>
    <row r="2467" spans="1:3" x14ac:dyDescent="0.25">
      <c r="A2467" t="s">
        <v>4577</v>
      </c>
      <c r="B2467">
        <v>15</v>
      </c>
      <c r="C2467">
        <v>0</v>
      </c>
    </row>
    <row r="2468" spans="1:3" x14ac:dyDescent="0.25">
      <c r="A2468" t="s">
        <v>4578</v>
      </c>
      <c r="B2468">
        <v>10</v>
      </c>
      <c r="C2468">
        <v>0</v>
      </c>
    </row>
    <row r="2469" spans="1:3" x14ac:dyDescent="0.25">
      <c r="A2469" t="s">
        <v>4579</v>
      </c>
      <c r="B2469">
        <v>52</v>
      </c>
      <c r="C2469">
        <v>0</v>
      </c>
    </row>
    <row r="2470" spans="1:3" x14ac:dyDescent="0.25">
      <c r="A2470" t="s">
        <v>4580</v>
      </c>
      <c r="B2470">
        <v>76</v>
      </c>
      <c r="C2470">
        <v>0</v>
      </c>
    </row>
    <row r="2471" spans="1:3" x14ac:dyDescent="0.25">
      <c r="A2471" t="s">
        <v>4581</v>
      </c>
      <c r="B2471">
        <v>4</v>
      </c>
      <c r="C2471">
        <v>0</v>
      </c>
    </row>
    <row r="2472" spans="1:3" x14ac:dyDescent="0.25">
      <c r="A2472" t="s">
        <v>4582</v>
      </c>
      <c r="B2472">
        <v>65</v>
      </c>
      <c r="C2472">
        <v>0</v>
      </c>
    </row>
    <row r="2473" spans="1:3" x14ac:dyDescent="0.25">
      <c r="A2473" t="s">
        <v>4583</v>
      </c>
      <c r="B2473">
        <v>41</v>
      </c>
      <c r="C2473">
        <v>0</v>
      </c>
    </row>
    <row r="2474" spans="1:3" x14ac:dyDescent="0.25">
      <c r="A2474" t="s">
        <v>4584</v>
      </c>
      <c r="B2474">
        <v>4</v>
      </c>
      <c r="C2474">
        <v>0</v>
      </c>
    </row>
    <row r="2475" spans="1:3" x14ac:dyDescent="0.25">
      <c r="A2475" t="s">
        <v>4585</v>
      </c>
      <c r="B2475">
        <v>30</v>
      </c>
      <c r="C2475">
        <v>0</v>
      </c>
    </row>
    <row r="2476" spans="1:3" x14ac:dyDescent="0.25">
      <c r="A2476" t="s">
        <v>4586</v>
      </c>
      <c r="B2476">
        <v>6</v>
      </c>
      <c r="C2476">
        <v>0</v>
      </c>
    </row>
    <row r="2477" spans="1:3" x14ac:dyDescent="0.25">
      <c r="A2477" t="s">
        <v>4587</v>
      </c>
      <c r="B2477">
        <v>22</v>
      </c>
      <c r="C2477">
        <v>0</v>
      </c>
    </row>
    <row r="2478" spans="1:3" x14ac:dyDescent="0.25">
      <c r="A2478" t="s">
        <v>4588</v>
      </c>
      <c r="B2478">
        <v>43</v>
      </c>
      <c r="C24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9471A-15E8-4AEF-BA7B-6CB677F31BD8}">
  <sheetPr codeName="Feuil3"/>
  <dimension ref="A1:AK50"/>
  <sheetViews>
    <sheetView showGridLines="0" tabSelected="1" zoomScaleNormal="100" workbookViewId="0">
      <selection activeCell="D2" sqref="D2"/>
    </sheetView>
  </sheetViews>
  <sheetFormatPr baseColWidth="10" defaultRowHeight="15" x14ac:dyDescent="0.25"/>
  <cols>
    <col min="1" max="1" width="25.7109375" bestFit="1" customWidth="1"/>
    <col min="2" max="2" width="9.7109375" bestFit="1" customWidth="1"/>
    <col min="3" max="3" width="10" bestFit="1" customWidth="1"/>
    <col min="4" max="4" width="11.28515625" bestFit="1" customWidth="1"/>
    <col min="5" max="5" width="58.7109375" bestFit="1" customWidth="1"/>
    <col min="6" max="6" width="5.42578125" customWidth="1"/>
    <col min="7" max="7" width="22.28515625" bestFit="1" customWidth="1"/>
    <col min="8" max="8" width="9.85546875" bestFit="1" customWidth="1"/>
    <col min="9" max="9" width="10.140625" bestFit="1" customWidth="1"/>
    <col min="10" max="10" width="11.42578125" bestFit="1" customWidth="1"/>
    <col min="11" max="11" width="11.42578125" customWidth="1"/>
    <col min="12" max="12" width="30.85546875" bestFit="1" customWidth="1"/>
    <col min="13" max="13" width="17.42578125" bestFit="1" customWidth="1"/>
    <col min="24" max="24" width="13.42578125" bestFit="1" customWidth="1"/>
    <col min="33" max="33" width="23.7109375" bestFit="1" customWidth="1"/>
    <col min="37" max="37" width="15.7109375" customWidth="1"/>
  </cols>
  <sheetData>
    <row r="1" spans="1:37" x14ac:dyDescent="0.25">
      <c r="D1" s="7" t="s">
        <v>62</v>
      </c>
    </row>
    <row r="2" spans="1:37" x14ac:dyDescent="0.25">
      <c r="A2" s="19" t="s">
        <v>63</v>
      </c>
      <c r="B2" s="19"/>
      <c r="C2" s="19"/>
      <c r="D2" s="8" t="s">
        <v>4531</v>
      </c>
      <c r="L2" t="s">
        <v>93</v>
      </c>
    </row>
    <row r="3" spans="1:37" x14ac:dyDescent="0.25">
      <c r="A3" s="19" t="s">
        <v>64</v>
      </c>
      <c r="B3" s="19"/>
      <c r="C3" s="19"/>
      <c r="D3" s="8" t="s">
        <v>4532</v>
      </c>
      <c r="L3" t="s">
        <v>94</v>
      </c>
    </row>
    <row r="4" spans="1:37" x14ac:dyDescent="0.25">
      <c r="D4" s="8"/>
    </row>
    <row r="5" spans="1:37" ht="15.75" x14ac:dyDescent="0.25">
      <c r="A5" s="18" t="s">
        <v>55</v>
      </c>
      <c r="B5" s="18"/>
      <c r="C5" s="18"/>
      <c r="D5" s="18"/>
      <c r="E5" s="6" t="s">
        <v>60</v>
      </c>
      <c r="G5" s="18" t="s">
        <v>56</v>
      </c>
      <c r="H5" s="18"/>
      <c r="I5" s="18"/>
      <c r="J5" s="18"/>
      <c r="L5" s="9"/>
    </row>
    <row r="6" spans="1:37" ht="23.25" x14ac:dyDescent="0.25">
      <c r="A6" s="18"/>
      <c r="B6" s="18"/>
      <c r="C6" s="18"/>
      <c r="D6" s="18"/>
      <c r="E6" s="5">
        <v>46325.375283171299</v>
      </c>
      <c r="G6" s="18"/>
      <c r="H6" s="18"/>
      <c r="I6" s="18"/>
      <c r="J6" s="18"/>
      <c r="AG6" t="s">
        <v>49</v>
      </c>
      <c r="AH6" t="s">
        <v>50</v>
      </c>
      <c r="AI6" t="s">
        <v>51</v>
      </c>
      <c r="AJ6" t="s">
        <v>52</v>
      </c>
      <c r="AK6" t="s">
        <v>57</v>
      </c>
    </row>
    <row r="7" spans="1:37" x14ac:dyDescent="0.25">
      <c r="A7" t="s">
        <v>49</v>
      </c>
      <c r="B7" t="s">
        <v>50</v>
      </c>
      <c r="C7" t="s">
        <v>51</v>
      </c>
      <c r="D7" t="s">
        <v>52</v>
      </c>
      <c r="E7" t="s">
        <v>57</v>
      </c>
      <c r="G7" t="s">
        <v>49</v>
      </c>
      <c r="H7" t="s">
        <v>21</v>
      </c>
      <c r="I7" t="s">
        <v>53</v>
      </c>
      <c r="J7" t="s">
        <v>54</v>
      </c>
      <c r="AG7" t="s">
        <v>1</v>
      </c>
      <c r="AH7">
        <v>371</v>
      </c>
      <c r="AI7">
        <v>370</v>
      </c>
      <c r="AJ7">
        <v>1</v>
      </c>
      <c r="AK7" t="s">
        <v>58</v>
      </c>
    </row>
    <row r="8" spans="1:37" x14ac:dyDescent="0.25">
      <c r="A8" s="21" t="s">
        <v>4242</v>
      </c>
      <c r="B8" s="22">
        <v>6063.9</v>
      </c>
      <c r="C8" s="22">
        <v>6063.8</v>
      </c>
      <c r="D8" s="22">
        <v>9.9999999999454303E-2</v>
      </c>
      <c r="E8" s="21"/>
      <c r="G8" t="s">
        <v>66</v>
      </c>
      <c r="H8">
        <v>160</v>
      </c>
      <c r="I8">
        <v>200</v>
      </c>
      <c r="J8">
        <v>-40</v>
      </c>
      <c r="AG8" t="s">
        <v>5</v>
      </c>
      <c r="AH8">
        <v>2902</v>
      </c>
      <c r="AI8">
        <v>2896</v>
      </c>
      <c r="AJ8">
        <v>6</v>
      </c>
    </row>
    <row r="9" spans="1:37" x14ac:dyDescent="0.25">
      <c r="A9" s="21" t="s">
        <v>3</v>
      </c>
      <c r="B9" s="22">
        <v>3709.4</v>
      </c>
      <c r="C9" s="22">
        <v>3709.3</v>
      </c>
      <c r="D9" s="22">
        <v>9.9999999999909051E-2</v>
      </c>
      <c r="E9" s="21"/>
      <c r="G9" t="s">
        <v>4092</v>
      </c>
      <c r="H9">
        <v>1600</v>
      </c>
      <c r="I9">
        <v>2050</v>
      </c>
      <c r="J9">
        <v>-450</v>
      </c>
      <c r="AG9" t="s">
        <v>3</v>
      </c>
      <c r="AH9">
        <v>3763</v>
      </c>
      <c r="AI9">
        <v>4265.8999999999996</v>
      </c>
      <c r="AJ9">
        <v>-502.89999999999964</v>
      </c>
    </row>
    <row r="10" spans="1:37" x14ac:dyDescent="0.25">
      <c r="A10" s="21" t="s">
        <v>92</v>
      </c>
      <c r="B10" s="22">
        <v>2281.6</v>
      </c>
      <c r="C10" s="22">
        <v>2255</v>
      </c>
      <c r="D10" s="22">
        <v>26.599999999999909</v>
      </c>
      <c r="E10" s="21"/>
      <c r="G10" t="s">
        <v>4314</v>
      </c>
      <c r="H10">
        <v>1750</v>
      </c>
      <c r="I10">
        <v>1850</v>
      </c>
      <c r="J10">
        <v>-100</v>
      </c>
      <c r="AG10" t="s">
        <v>4</v>
      </c>
      <c r="AH10">
        <v>49</v>
      </c>
      <c r="AI10">
        <v>2</v>
      </c>
      <c r="AJ10">
        <v>47</v>
      </c>
    </row>
    <row r="11" spans="1:37" x14ac:dyDescent="0.25">
      <c r="A11" s="21" t="s">
        <v>61</v>
      </c>
      <c r="B11" s="22">
        <v>164.6</v>
      </c>
      <c r="C11" s="22">
        <v>164.7</v>
      </c>
      <c r="D11" s="22">
        <v>-9.9999999999994316E-2</v>
      </c>
      <c r="E11" s="21"/>
      <c r="G11" t="s">
        <v>84</v>
      </c>
      <c r="H11">
        <v>1750</v>
      </c>
      <c r="I11">
        <v>1850</v>
      </c>
      <c r="J11">
        <v>-100</v>
      </c>
      <c r="AG11" t="s">
        <v>11</v>
      </c>
      <c r="AH11">
        <v>80</v>
      </c>
      <c r="AI11">
        <v>0</v>
      </c>
      <c r="AJ11">
        <v>80</v>
      </c>
    </row>
    <row r="12" spans="1:37" x14ac:dyDescent="0.25">
      <c r="A12" s="21" t="s">
        <v>4577</v>
      </c>
      <c r="B12" s="22">
        <v>0</v>
      </c>
      <c r="C12" s="22">
        <v>15</v>
      </c>
      <c r="D12" s="22">
        <v>-15</v>
      </c>
      <c r="E12" s="21"/>
      <c r="G12" t="s">
        <v>4272</v>
      </c>
      <c r="H12">
        <v>1600</v>
      </c>
      <c r="I12">
        <v>2050</v>
      </c>
      <c r="J12">
        <v>-450</v>
      </c>
      <c r="AG12" t="s">
        <v>6</v>
      </c>
      <c r="AH12">
        <v>932</v>
      </c>
      <c r="AI12">
        <v>714</v>
      </c>
      <c r="AJ12">
        <v>218</v>
      </c>
    </row>
    <row r="13" spans="1:37" x14ac:dyDescent="0.25">
      <c r="A13" s="21" t="s">
        <v>4578</v>
      </c>
      <c r="B13" s="22">
        <v>0</v>
      </c>
      <c r="C13" s="22">
        <v>10</v>
      </c>
      <c r="D13" s="22">
        <v>-10</v>
      </c>
      <c r="E13" s="21"/>
      <c r="G13" t="s">
        <v>4490</v>
      </c>
      <c r="H13">
        <v>3350</v>
      </c>
      <c r="I13">
        <v>3400</v>
      </c>
      <c r="J13">
        <v>-50</v>
      </c>
      <c r="AG13" t="s">
        <v>12</v>
      </c>
      <c r="AH13">
        <v>35</v>
      </c>
      <c r="AI13">
        <v>15</v>
      </c>
      <c r="AJ13">
        <v>20</v>
      </c>
    </row>
    <row r="14" spans="1:37" x14ac:dyDescent="0.25">
      <c r="A14" s="21" t="s">
        <v>4576</v>
      </c>
      <c r="B14" s="22">
        <v>0</v>
      </c>
      <c r="C14" s="22">
        <v>21</v>
      </c>
      <c r="D14" s="22">
        <v>-21</v>
      </c>
      <c r="E14" s="21"/>
      <c r="G14" t="s">
        <v>4444</v>
      </c>
      <c r="H14">
        <v>2350</v>
      </c>
      <c r="I14">
        <v>2500</v>
      </c>
      <c r="J14">
        <v>-150</v>
      </c>
      <c r="AG14" t="s">
        <v>7</v>
      </c>
      <c r="AH14">
        <v>436</v>
      </c>
      <c r="AI14">
        <v>437</v>
      </c>
      <c r="AJ14">
        <v>-1</v>
      </c>
    </row>
    <row r="15" spans="1:37" x14ac:dyDescent="0.25">
      <c r="A15" s="21" t="s">
        <v>4579</v>
      </c>
      <c r="B15" s="22">
        <v>0</v>
      </c>
      <c r="C15" s="22">
        <v>52</v>
      </c>
      <c r="D15" s="22">
        <v>-52</v>
      </c>
      <c r="E15" s="21"/>
      <c r="G15" t="s">
        <v>78</v>
      </c>
      <c r="H15">
        <v>1</v>
      </c>
      <c r="I15">
        <v>0</v>
      </c>
      <c r="J15">
        <v>1</v>
      </c>
      <c r="AG15" t="s">
        <v>10</v>
      </c>
      <c r="AH15">
        <v>100</v>
      </c>
      <c r="AI15">
        <v>50</v>
      </c>
      <c r="AJ15">
        <v>50</v>
      </c>
    </row>
    <row r="16" spans="1:37" x14ac:dyDescent="0.25">
      <c r="A16" s="21" t="s">
        <v>4580</v>
      </c>
      <c r="B16" s="22">
        <v>0</v>
      </c>
      <c r="C16" s="22">
        <v>76</v>
      </c>
      <c r="D16" s="22">
        <v>-76</v>
      </c>
      <c r="E16" s="21"/>
      <c r="G16" t="s">
        <v>4504</v>
      </c>
      <c r="H16">
        <v>1</v>
      </c>
      <c r="I16">
        <v>0</v>
      </c>
      <c r="J16">
        <v>1</v>
      </c>
      <c r="AG16" t="s">
        <v>9</v>
      </c>
      <c r="AH16">
        <v>1</v>
      </c>
      <c r="AI16">
        <v>2</v>
      </c>
      <c r="AJ16">
        <v>-1</v>
      </c>
    </row>
    <row r="17" spans="1:36" x14ac:dyDescent="0.25">
      <c r="A17" s="21" t="s">
        <v>6</v>
      </c>
      <c r="B17" s="22">
        <v>773</v>
      </c>
      <c r="C17" s="22">
        <v>555</v>
      </c>
      <c r="D17" s="22">
        <v>218</v>
      </c>
      <c r="E17" s="21"/>
      <c r="G17" t="s">
        <v>20</v>
      </c>
      <c r="H17">
        <v>1</v>
      </c>
      <c r="I17">
        <v>200</v>
      </c>
      <c r="J17">
        <v>-199</v>
      </c>
      <c r="AG17" t="s">
        <v>14</v>
      </c>
      <c r="AH17">
        <v>26</v>
      </c>
      <c r="AI17">
        <v>244</v>
      </c>
      <c r="AJ17">
        <v>-218</v>
      </c>
    </row>
    <row r="18" spans="1:36" x14ac:dyDescent="0.25">
      <c r="A18" s="21" t="s">
        <v>14</v>
      </c>
      <c r="B18" s="22">
        <v>26</v>
      </c>
      <c r="C18" s="22">
        <v>244</v>
      </c>
      <c r="D18" s="22">
        <v>-218</v>
      </c>
      <c r="E18" s="21"/>
      <c r="G18" t="s">
        <v>4278</v>
      </c>
      <c r="H18">
        <v>180</v>
      </c>
      <c r="I18">
        <v>4050</v>
      </c>
      <c r="J18">
        <v>-3870</v>
      </c>
      <c r="AG18" t="s">
        <v>17</v>
      </c>
      <c r="AH18">
        <v>9</v>
      </c>
      <c r="AI18">
        <v>7</v>
      </c>
      <c r="AJ18">
        <v>2</v>
      </c>
    </row>
    <row r="19" spans="1:36" x14ac:dyDescent="0.25">
      <c r="A19" s="21" t="s">
        <v>4278</v>
      </c>
      <c r="B19" s="22">
        <v>0</v>
      </c>
      <c r="C19" s="22">
        <v>166</v>
      </c>
      <c r="D19" s="22">
        <v>-166</v>
      </c>
      <c r="E19" s="21"/>
      <c r="G19" t="s">
        <v>4347</v>
      </c>
      <c r="H19">
        <v>170</v>
      </c>
      <c r="I19">
        <v>8200</v>
      </c>
      <c r="J19">
        <v>-8030</v>
      </c>
      <c r="AG19" t="s">
        <v>19</v>
      </c>
      <c r="AH19">
        <v>13</v>
      </c>
      <c r="AI19">
        <v>12</v>
      </c>
      <c r="AJ19">
        <v>1</v>
      </c>
    </row>
    <row r="20" spans="1:36" x14ac:dyDescent="0.25">
      <c r="A20" s="21" t="s">
        <v>3994</v>
      </c>
      <c r="B20" s="22">
        <v>900</v>
      </c>
      <c r="C20" s="22">
        <v>500</v>
      </c>
      <c r="D20" s="22">
        <v>400</v>
      </c>
      <c r="E20" s="21"/>
      <c r="G20" t="s">
        <v>4575</v>
      </c>
      <c r="H20">
        <v>400</v>
      </c>
      <c r="I20">
        <v>0</v>
      </c>
      <c r="J20">
        <v>400</v>
      </c>
    </row>
    <row r="21" spans="1:36" x14ac:dyDescent="0.25">
      <c r="A21" s="21" t="s">
        <v>4575</v>
      </c>
      <c r="B21" s="22">
        <v>0</v>
      </c>
      <c r="C21" s="22">
        <v>7</v>
      </c>
      <c r="D21" s="22">
        <v>-7</v>
      </c>
      <c r="E21" s="21"/>
    </row>
    <row r="22" spans="1:36" x14ac:dyDescent="0.25">
      <c r="A22" s="21" t="s">
        <v>4581</v>
      </c>
      <c r="B22" s="22">
        <v>0</v>
      </c>
      <c r="C22" s="22">
        <v>4</v>
      </c>
      <c r="D22" s="22">
        <v>-4</v>
      </c>
      <c r="E22" s="21"/>
    </row>
    <row r="23" spans="1:36" x14ac:dyDescent="0.25">
      <c r="A23" s="21" t="s">
        <v>4588</v>
      </c>
      <c r="B23" s="22">
        <v>0</v>
      </c>
      <c r="C23" s="22">
        <v>43</v>
      </c>
      <c r="D23" s="22">
        <v>-43</v>
      </c>
      <c r="E23" s="21"/>
    </row>
    <row r="24" spans="1:36" x14ac:dyDescent="0.25">
      <c r="A24" s="21" t="s">
        <v>4582</v>
      </c>
      <c r="B24" s="22">
        <v>0</v>
      </c>
      <c r="C24" s="22">
        <v>65</v>
      </c>
      <c r="D24" s="22">
        <v>-65</v>
      </c>
      <c r="E24" s="21"/>
    </row>
    <row r="25" spans="1:36" x14ac:dyDescent="0.25">
      <c r="A25" s="21" t="s">
        <v>4583</v>
      </c>
      <c r="B25" s="22">
        <v>0</v>
      </c>
      <c r="C25" s="22">
        <v>41</v>
      </c>
      <c r="D25" s="22">
        <v>-41</v>
      </c>
      <c r="E25" s="21"/>
    </row>
    <row r="26" spans="1:36" x14ac:dyDescent="0.25">
      <c r="A26" s="21" t="s">
        <v>3566</v>
      </c>
      <c r="B26" s="22">
        <v>150</v>
      </c>
      <c r="C26" s="22">
        <v>0</v>
      </c>
      <c r="D26" s="22">
        <v>150</v>
      </c>
      <c r="E26" s="21"/>
    </row>
    <row r="27" spans="1:36" x14ac:dyDescent="0.25">
      <c r="A27" s="21" t="s">
        <v>20</v>
      </c>
      <c r="B27" s="22">
        <v>0</v>
      </c>
      <c r="C27" s="22">
        <v>509</v>
      </c>
      <c r="D27" s="22">
        <v>-509</v>
      </c>
      <c r="E27" s="21"/>
    </row>
    <row r="28" spans="1:36" x14ac:dyDescent="0.25">
      <c r="A28" s="21" t="s">
        <v>13</v>
      </c>
      <c r="B28" s="22">
        <v>1239</v>
      </c>
      <c r="C28" s="22">
        <v>730</v>
      </c>
      <c r="D28" s="22">
        <v>509</v>
      </c>
      <c r="E28" s="21"/>
    </row>
    <row r="29" spans="1:36" x14ac:dyDescent="0.25">
      <c r="A29" s="21" t="s">
        <v>4174</v>
      </c>
      <c r="B29" s="22">
        <v>14</v>
      </c>
      <c r="C29" s="22">
        <v>13</v>
      </c>
      <c r="D29" s="22">
        <v>1</v>
      </c>
      <c r="E29" s="21"/>
    </row>
    <row r="30" spans="1:36" x14ac:dyDescent="0.25">
      <c r="A30" s="21" t="s">
        <v>4550</v>
      </c>
      <c r="B30" s="22">
        <v>2</v>
      </c>
      <c r="C30" s="22">
        <v>1</v>
      </c>
      <c r="D30" s="22">
        <v>1</v>
      </c>
      <c r="E30" s="21" t="s">
        <v>4569</v>
      </c>
    </row>
    <row r="31" spans="1:36" x14ac:dyDescent="0.25">
      <c r="A31" s="21" t="s">
        <v>4279</v>
      </c>
      <c r="B31" s="22">
        <v>22</v>
      </c>
      <c r="C31" s="22">
        <v>21</v>
      </c>
      <c r="D31" s="22">
        <v>1</v>
      </c>
      <c r="E31" s="21"/>
    </row>
    <row r="32" spans="1:36" x14ac:dyDescent="0.25">
      <c r="A32" s="21" t="s">
        <v>4347</v>
      </c>
      <c r="B32" s="22">
        <v>0</v>
      </c>
      <c r="C32" s="22">
        <v>129</v>
      </c>
      <c r="D32" s="22">
        <v>-129</v>
      </c>
      <c r="E32" s="21"/>
    </row>
    <row r="33" spans="1:5" x14ac:dyDescent="0.25">
      <c r="A33" s="21" t="s">
        <v>4584</v>
      </c>
      <c r="B33" s="22">
        <v>0</v>
      </c>
      <c r="C33" s="22">
        <v>4</v>
      </c>
      <c r="D33" s="22">
        <v>-4</v>
      </c>
      <c r="E33" s="21"/>
    </row>
    <row r="34" spans="1:5" x14ac:dyDescent="0.25">
      <c r="A34" s="21" t="s">
        <v>4585</v>
      </c>
      <c r="B34" s="22">
        <v>0</v>
      </c>
      <c r="C34" s="22">
        <v>30</v>
      </c>
      <c r="D34" s="22">
        <v>-30</v>
      </c>
      <c r="E34" s="21"/>
    </row>
    <row r="35" spans="1:5" x14ac:dyDescent="0.25">
      <c r="A35" s="21" t="s">
        <v>4554</v>
      </c>
      <c r="B35" s="22">
        <v>2</v>
      </c>
      <c r="C35" s="22">
        <v>0</v>
      </c>
      <c r="D35" s="22">
        <v>2</v>
      </c>
      <c r="E35" s="21" t="s">
        <v>4570</v>
      </c>
    </row>
    <row r="36" spans="1:5" x14ac:dyDescent="0.25">
      <c r="A36" s="21" t="s">
        <v>4539</v>
      </c>
      <c r="B36" s="22">
        <v>471</v>
      </c>
      <c r="C36" s="22">
        <v>470</v>
      </c>
      <c r="D36" s="22">
        <v>1</v>
      </c>
      <c r="E36" s="21" t="s">
        <v>4569</v>
      </c>
    </row>
    <row r="37" spans="1:5" x14ac:dyDescent="0.25">
      <c r="A37" s="21" t="s">
        <v>4555</v>
      </c>
      <c r="B37" s="22">
        <v>290</v>
      </c>
      <c r="C37" s="22">
        <v>345</v>
      </c>
      <c r="D37" s="22">
        <v>-55</v>
      </c>
      <c r="E37" s="21" t="s">
        <v>4574</v>
      </c>
    </row>
    <row r="38" spans="1:5" x14ac:dyDescent="0.25">
      <c r="A38" s="21" t="s">
        <v>4448</v>
      </c>
      <c r="B38" s="22">
        <v>4</v>
      </c>
      <c r="C38" s="22">
        <v>2</v>
      </c>
      <c r="D38" s="22">
        <v>2</v>
      </c>
      <c r="E38" s="21"/>
    </row>
    <row r="39" spans="1:5" x14ac:dyDescent="0.25">
      <c r="A39" s="21" t="s">
        <v>4444</v>
      </c>
      <c r="B39" s="22">
        <v>827</v>
      </c>
      <c r="C39" s="22">
        <v>829</v>
      </c>
      <c r="D39" s="22">
        <v>-2</v>
      </c>
      <c r="E39" s="21" t="s">
        <v>4573</v>
      </c>
    </row>
    <row r="40" spans="1:5" x14ac:dyDescent="0.25">
      <c r="A40" s="21" t="s">
        <v>4524</v>
      </c>
      <c r="B40" s="22">
        <v>111</v>
      </c>
      <c r="C40" s="22">
        <v>57</v>
      </c>
      <c r="D40" s="22">
        <v>54</v>
      </c>
      <c r="E40" s="21" t="s">
        <v>4570</v>
      </c>
    </row>
    <row r="41" spans="1:5" x14ac:dyDescent="0.25">
      <c r="A41" s="21" t="s">
        <v>4445</v>
      </c>
      <c r="B41" s="22">
        <v>37</v>
      </c>
      <c r="C41" s="22">
        <v>36</v>
      </c>
      <c r="D41" s="22">
        <v>1</v>
      </c>
      <c r="E41" s="21" t="s">
        <v>4573</v>
      </c>
    </row>
    <row r="42" spans="1:5" x14ac:dyDescent="0.25">
      <c r="A42" s="21" t="s">
        <v>17</v>
      </c>
      <c r="B42" s="22">
        <v>5</v>
      </c>
      <c r="C42" s="22">
        <v>4</v>
      </c>
      <c r="D42" s="22">
        <v>1</v>
      </c>
      <c r="E42" s="21"/>
    </row>
    <row r="43" spans="1:5" x14ac:dyDescent="0.25">
      <c r="A43" s="21" t="s">
        <v>66</v>
      </c>
      <c r="B43" s="22">
        <v>4861</v>
      </c>
      <c r="C43" s="22">
        <v>4853</v>
      </c>
      <c r="D43" s="22">
        <v>8</v>
      </c>
      <c r="E43" s="21"/>
    </row>
    <row r="44" spans="1:5" x14ac:dyDescent="0.25">
      <c r="A44" s="21" t="s">
        <v>4586</v>
      </c>
      <c r="B44" s="22">
        <v>0</v>
      </c>
      <c r="C44" s="22">
        <v>6</v>
      </c>
      <c r="D44" s="22">
        <v>-6</v>
      </c>
      <c r="E44" s="21"/>
    </row>
    <row r="45" spans="1:5" x14ac:dyDescent="0.25">
      <c r="A45" s="21" t="s">
        <v>3565</v>
      </c>
      <c r="B45" s="22">
        <v>7</v>
      </c>
      <c r="C45" s="22">
        <v>0</v>
      </c>
      <c r="D45" s="22">
        <v>7</v>
      </c>
      <c r="E45" s="21"/>
    </row>
    <row r="46" spans="1:5" x14ac:dyDescent="0.25">
      <c r="A46" s="21" t="s">
        <v>3578</v>
      </c>
      <c r="B46" s="22">
        <v>37</v>
      </c>
      <c r="C46" s="22">
        <v>36</v>
      </c>
      <c r="D46" s="22">
        <v>1</v>
      </c>
      <c r="E46" s="21"/>
    </row>
    <row r="47" spans="1:5" x14ac:dyDescent="0.25">
      <c r="A47" s="21" t="s">
        <v>3547</v>
      </c>
      <c r="B47" s="22">
        <v>1</v>
      </c>
      <c r="C47" s="22">
        <v>0</v>
      </c>
      <c r="D47" s="22">
        <v>1</v>
      </c>
      <c r="E47" s="21"/>
    </row>
    <row r="48" spans="1:5" x14ac:dyDescent="0.25">
      <c r="A48" s="21" t="s">
        <v>5</v>
      </c>
      <c r="B48" s="22">
        <v>3653</v>
      </c>
      <c r="C48" s="22">
        <v>3654</v>
      </c>
      <c r="D48" s="22">
        <v>-1</v>
      </c>
      <c r="E48" s="21"/>
    </row>
    <row r="49" spans="1:5" x14ac:dyDescent="0.25">
      <c r="A49" s="21" t="s">
        <v>4587</v>
      </c>
      <c r="B49" s="22">
        <v>0</v>
      </c>
      <c r="C49" s="22">
        <v>22</v>
      </c>
      <c r="D49" s="22">
        <v>-22</v>
      </c>
      <c r="E49" s="21"/>
    </row>
    <row r="50" spans="1:5" x14ac:dyDescent="0.25">
      <c r="A50" s="21" t="s">
        <v>68</v>
      </c>
      <c r="B50" s="22">
        <v>811</v>
      </c>
      <c r="C50" s="22">
        <v>807</v>
      </c>
      <c r="D50" s="22">
        <v>4</v>
      </c>
      <c r="E50" s="21"/>
    </row>
  </sheetData>
  <mergeCells count="4">
    <mergeCell ref="G5:J6"/>
    <mergeCell ref="A5:D6"/>
    <mergeCell ref="A2:C2"/>
    <mergeCell ref="A3:C3"/>
  </mergeCells>
  <phoneticPr fontId="1" type="noConversion"/>
  <hyperlinks>
    <hyperlink ref="D2" r:id="rId1" xr:uid="{387CD465-37D7-45CF-B8BD-91715F3C4A64}"/>
    <hyperlink ref="D3" r:id="rId2" xr:uid="{BD34F3F6-FBCD-4DBE-9741-E7C35E923D53}"/>
  </hyperlinks>
  <pageMargins left="0.28999999999999998" right="0.2" top="0.45" bottom="0.46" header="0.22" footer="0.2"/>
  <pageSetup paperSize="9" fitToHeight="0" orientation="portrait"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E4978-FA3B-4938-9AE6-2B2541DB5699}">
  <dimension ref="A1:O33"/>
  <sheetViews>
    <sheetView topLeftCell="D4" workbookViewId="0">
      <selection activeCell="L10" sqref="L10"/>
    </sheetView>
  </sheetViews>
  <sheetFormatPr baseColWidth="10" defaultRowHeight="15" x14ac:dyDescent="0.25"/>
  <cols>
    <col min="1" max="1" width="21" bestFit="1" customWidth="1"/>
    <col min="2" max="2" width="18.85546875" bestFit="1" customWidth="1"/>
    <col min="6" max="6" width="20.7109375" bestFit="1" customWidth="1"/>
    <col min="10" max="10" width="23.85546875" bestFit="1" customWidth="1"/>
  </cols>
  <sheetData>
    <row r="1" spans="1:15" x14ac:dyDescent="0.25">
      <c r="A1" t="s">
        <v>4494</v>
      </c>
      <c r="B1" t="s">
        <v>4495</v>
      </c>
      <c r="F1" s="16" t="s">
        <v>49</v>
      </c>
      <c r="G1" s="16" t="s">
        <v>50</v>
      </c>
      <c r="H1" s="16" t="s">
        <v>51</v>
      </c>
      <c r="I1" s="16" t="s">
        <v>52</v>
      </c>
      <c r="J1" s="16" t="s">
        <v>57</v>
      </c>
    </row>
    <row r="2" spans="1:15" x14ac:dyDescent="0.25">
      <c r="A2" t="s">
        <v>4410</v>
      </c>
      <c r="B2">
        <v>2</v>
      </c>
      <c r="F2" s="14" t="s">
        <v>66</v>
      </c>
      <c r="G2" s="10">
        <v>2296</v>
      </c>
      <c r="H2" s="10">
        <v>2286</v>
      </c>
      <c r="I2" s="10">
        <f>+G2-H2</f>
        <v>10</v>
      </c>
      <c r="J2" s="11" t="s">
        <v>4482</v>
      </c>
    </row>
    <row r="3" spans="1:15" x14ac:dyDescent="0.25">
      <c r="A3" t="s">
        <v>4405</v>
      </c>
      <c r="B3">
        <v>1</v>
      </c>
      <c r="F3" s="14" t="s">
        <v>3547</v>
      </c>
      <c r="G3" s="10">
        <v>1</v>
      </c>
      <c r="H3" s="10">
        <v>0</v>
      </c>
      <c r="I3" s="10">
        <f>+G3-H3</f>
        <v>1</v>
      </c>
      <c r="J3" s="11" t="s">
        <v>4491</v>
      </c>
    </row>
    <row r="4" spans="1:15" x14ac:dyDescent="0.25">
      <c r="A4" t="s">
        <v>4474</v>
      </c>
      <c r="B4">
        <v>10</v>
      </c>
      <c r="F4" s="14"/>
      <c r="G4" s="10"/>
      <c r="H4" s="10"/>
      <c r="I4" s="10"/>
      <c r="J4" s="11"/>
    </row>
    <row r="5" spans="1:15" x14ac:dyDescent="0.25">
      <c r="A5" t="s">
        <v>4493</v>
      </c>
      <c r="B5">
        <v>31</v>
      </c>
      <c r="F5" s="14"/>
      <c r="G5" s="10"/>
      <c r="H5" s="10"/>
      <c r="I5" s="10"/>
      <c r="J5" s="11"/>
    </row>
    <row r="6" spans="1:15" x14ac:dyDescent="0.25">
      <c r="A6" t="s">
        <v>4475</v>
      </c>
      <c r="B6">
        <v>20</v>
      </c>
      <c r="F6" s="14"/>
      <c r="G6" s="10"/>
      <c r="H6" s="10"/>
      <c r="I6" s="10"/>
      <c r="J6" s="11"/>
    </row>
    <row r="7" spans="1:15" x14ac:dyDescent="0.25">
      <c r="A7" t="s">
        <v>4483</v>
      </c>
      <c r="B7">
        <v>50</v>
      </c>
      <c r="F7" s="14"/>
      <c r="G7" s="10"/>
      <c r="H7" s="10"/>
      <c r="I7" s="10"/>
      <c r="J7" s="11"/>
    </row>
    <row r="8" spans="1:15" x14ac:dyDescent="0.25">
      <c r="A8" t="s">
        <v>4226</v>
      </c>
      <c r="B8">
        <v>1</v>
      </c>
      <c r="F8" s="14"/>
      <c r="G8" s="10"/>
      <c r="H8" s="10"/>
      <c r="I8" s="10"/>
      <c r="J8" s="11"/>
    </row>
    <row r="9" spans="1:15" x14ac:dyDescent="0.25">
      <c r="A9" t="s">
        <v>4227</v>
      </c>
      <c r="B9">
        <v>3</v>
      </c>
      <c r="F9" s="14"/>
      <c r="G9" s="10"/>
      <c r="H9" s="10"/>
      <c r="I9" s="17"/>
      <c r="J9" s="11"/>
      <c r="L9">
        <v>1.33</v>
      </c>
      <c r="M9">
        <v>16</v>
      </c>
      <c r="N9">
        <v>3</v>
      </c>
      <c r="O9">
        <f>+N9*M9*L9</f>
        <v>63.84</v>
      </c>
    </row>
    <row r="10" spans="1:15" x14ac:dyDescent="0.25">
      <c r="A10" t="s">
        <v>4484</v>
      </c>
      <c r="B10">
        <v>3</v>
      </c>
      <c r="F10" s="14"/>
      <c r="G10" s="10"/>
      <c r="H10" s="10"/>
      <c r="I10" s="17"/>
      <c r="J10" s="11"/>
      <c r="L10">
        <v>1.33</v>
      </c>
      <c r="M10">
        <v>16.5</v>
      </c>
      <c r="N10">
        <v>2</v>
      </c>
      <c r="O10">
        <f t="shared" ref="O10:O14" si="0">+N10*M10*L10</f>
        <v>43.89</v>
      </c>
    </row>
    <row r="11" spans="1:15" x14ac:dyDescent="0.25">
      <c r="A11" t="s">
        <v>4228</v>
      </c>
      <c r="B11">
        <v>2</v>
      </c>
      <c r="F11" s="14"/>
      <c r="G11" s="10"/>
      <c r="H11" s="10"/>
      <c r="I11" s="17"/>
      <c r="J11" s="11"/>
      <c r="L11">
        <v>1.33</v>
      </c>
      <c r="M11">
        <v>18</v>
      </c>
      <c r="N11">
        <v>1</v>
      </c>
      <c r="O11">
        <f t="shared" si="0"/>
        <v>23.94</v>
      </c>
    </row>
    <row r="12" spans="1:15" x14ac:dyDescent="0.25">
      <c r="A12" t="s">
        <v>4485</v>
      </c>
      <c r="B12">
        <v>6</v>
      </c>
      <c r="F12" s="14"/>
      <c r="G12" s="10"/>
      <c r="H12" s="10"/>
      <c r="I12" s="17"/>
      <c r="J12" s="11"/>
      <c r="L12">
        <v>1.33</v>
      </c>
      <c r="M12">
        <v>19.5</v>
      </c>
      <c r="N12">
        <v>1</v>
      </c>
      <c r="O12">
        <f t="shared" si="0"/>
        <v>25.935000000000002</v>
      </c>
    </row>
    <row r="13" spans="1:15" x14ac:dyDescent="0.25">
      <c r="A13" t="s">
        <v>4229</v>
      </c>
      <c r="B13">
        <v>1</v>
      </c>
      <c r="F13" s="14"/>
      <c r="G13" s="10"/>
      <c r="H13" s="10"/>
      <c r="I13" s="17"/>
      <c r="J13" s="11"/>
      <c r="L13">
        <v>1.33</v>
      </c>
      <c r="M13">
        <v>4</v>
      </c>
      <c r="N13">
        <v>1</v>
      </c>
      <c r="O13">
        <f t="shared" si="0"/>
        <v>5.32</v>
      </c>
    </row>
    <row r="14" spans="1:15" x14ac:dyDescent="0.25">
      <c r="A14" t="s">
        <v>4230</v>
      </c>
      <c r="B14">
        <v>1</v>
      </c>
      <c r="F14" s="14"/>
      <c r="G14" s="10"/>
      <c r="H14" s="10"/>
      <c r="I14" s="17"/>
      <c r="J14" s="11"/>
      <c r="L14">
        <v>1.33</v>
      </c>
      <c r="M14">
        <v>20</v>
      </c>
      <c r="N14">
        <v>6</v>
      </c>
      <c r="O14">
        <f t="shared" si="0"/>
        <v>159.60000000000002</v>
      </c>
    </row>
    <row r="15" spans="1:15" x14ac:dyDescent="0.25">
      <c r="A15" t="s">
        <v>4231</v>
      </c>
      <c r="B15">
        <v>2</v>
      </c>
      <c r="F15" s="14"/>
      <c r="G15" s="10"/>
      <c r="H15" s="10"/>
      <c r="I15" s="17"/>
      <c r="J15" s="11"/>
      <c r="O15">
        <f>SUM(O9:O14)</f>
        <v>322.52500000000003</v>
      </c>
    </row>
    <row r="16" spans="1:15" x14ac:dyDescent="0.25">
      <c r="A16" t="s">
        <v>4486</v>
      </c>
      <c r="B16">
        <v>2</v>
      </c>
      <c r="F16" s="14"/>
      <c r="G16" s="10"/>
      <c r="H16" s="10"/>
      <c r="I16" s="17"/>
      <c r="J16" s="11"/>
    </row>
    <row r="17" spans="1:10" x14ac:dyDescent="0.25">
      <c r="A17" t="s">
        <v>4492</v>
      </c>
      <c r="B17">
        <v>3</v>
      </c>
      <c r="F17" s="14"/>
      <c r="G17" s="10"/>
      <c r="H17" s="10"/>
      <c r="I17" s="17"/>
      <c r="J17" s="11"/>
    </row>
    <row r="18" spans="1:10" x14ac:dyDescent="0.25">
      <c r="A18" t="s">
        <v>4232</v>
      </c>
      <c r="B18">
        <v>30</v>
      </c>
      <c r="F18" s="14"/>
      <c r="G18" s="10"/>
      <c r="H18" s="10"/>
      <c r="I18" s="17"/>
      <c r="J18" s="11"/>
    </row>
    <row r="19" spans="1:10" x14ac:dyDescent="0.25">
      <c r="A19" t="s">
        <v>3162</v>
      </c>
      <c r="B19">
        <v>2</v>
      </c>
      <c r="F19" s="14"/>
      <c r="G19" s="10"/>
      <c r="H19" s="10"/>
      <c r="I19" s="17"/>
      <c r="J19" s="11"/>
    </row>
    <row r="20" spans="1:10" x14ac:dyDescent="0.25">
      <c r="A20" t="s">
        <v>3168</v>
      </c>
      <c r="B20">
        <v>3</v>
      </c>
      <c r="F20" s="15"/>
      <c r="G20" s="13"/>
      <c r="H20" s="13"/>
      <c r="I20" s="17"/>
      <c r="J20" s="12"/>
    </row>
    <row r="21" spans="1:10" x14ac:dyDescent="0.25">
      <c r="A21" t="s">
        <v>4222</v>
      </c>
      <c r="B21">
        <v>1</v>
      </c>
    </row>
    <row r="22" spans="1:10" x14ac:dyDescent="0.25">
      <c r="A22" t="s">
        <v>4223</v>
      </c>
      <c r="B22">
        <v>1</v>
      </c>
    </row>
    <row r="23" spans="1:10" x14ac:dyDescent="0.25">
      <c r="A23" t="s">
        <v>4224</v>
      </c>
      <c r="B23">
        <v>1</v>
      </c>
    </row>
    <row r="24" spans="1:10" x14ac:dyDescent="0.25">
      <c r="A24" t="s">
        <v>4225</v>
      </c>
      <c r="B24">
        <v>1</v>
      </c>
    </row>
    <row r="25" spans="1:10" x14ac:dyDescent="0.25">
      <c r="A25" t="s">
        <v>3712</v>
      </c>
      <c r="B25">
        <v>262</v>
      </c>
    </row>
    <row r="26" spans="1:10" x14ac:dyDescent="0.25">
      <c r="A26" t="s">
        <v>3835</v>
      </c>
      <c r="B26">
        <v>10</v>
      </c>
    </row>
    <row r="27" spans="1:10" x14ac:dyDescent="0.25">
      <c r="A27" t="s">
        <v>3480</v>
      </c>
      <c r="B27">
        <v>6</v>
      </c>
    </row>
    <row r="28" spans="1:10" x14ac:dyDescent="0.25">
      <c r="A28" t="s">
        <v>3171</v>
      </c>
      <c r="B28">
        <v>1</v>
      </c>
    </row>
    <row r="29" spans="1:10" x14ac:dyDescent="0.25">
      <c r="A29" t="s">
        <v>9</v>
      </c>
      <c r="B29">
        <v>1</v>
      </c>
    </row>
    <row r="30" spans="1:10" x14ac:dyDescent="0.25">
      <c r="A30" t="s">
        <v>4398</v>
      </c>
      <c r="B30">
        <v>2</v>
      </c>
    </row>
    <row r="31" spans="1:10" x14ac:dyDescent="0.25">
      <c r="A31" t="s">
        <v>5</v>
      </c>
      <c r="B31">
        <v>2898</v>
      </c>
    </row>
    <row r="32" spans="1:10" x14ac:dyDescent="0.25">
      <c r="A32" t="s">
        <v>76</v>
      </c>
      <c r="B32">
        <v>4170</v>
      </c>
    </row>
    <row r="33" spans="1:2" x14ac:dyDescent="0.25">
      <c r="A33" t="s">
        <v>3711</v>
      </c>
      <c r="B33">
        <v>360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B5E40-8DF9-4700-B24A-670D098A0521}">
  <sheetPr codeName="Feuil5"/>
  <dimension ref="A1:J49"/>
  <sheetViews>
    <sheetView workbookViewId="0">
      <selection sqref="A1:E109"/>
    </sheetView>
  </sheetViews>
  <sheetFormatPr baseColWidth="10" defaultRowHeight="15" x14ac:dyDescent="0.25"/>
  <cols>
    <col min="1" max="4" width="11.42578125" style="4"/>
    <col min="5" max="5" width="49.85546875" style="4" bestFit="1" customWidth="1"/>
    <col min="10" max="10" width="124.140625" customWidth="1"/>
  </cols>
  <sheetData>
    <row r="1" spans="1:10" x14ac:dyDescent="0.25">
      <c r="A1" s="4" t="s">
        <v>63</v>
      </c>
      <c r="D1" s="4" t="s">
        <v>4531</v>
      </c>
    </row>
    <row r="2" spans="1:10" x14ac:dyDescent="0.25">
      <c r="A2" s="4" t="s">
        <v>64</v>
      </c>
      <c r="D2" s="4" t="s">
        <v>4532</v>
      </c>
      <c r="J2" t="s">
        <v>59</v>
      </c>
    </row>
    <row r="3" spans="1:10" x14ac:dyDescent="0.25">
      <c r="J3" t="e" cm="1">
        <f t="array" aca="1" ref="J3" ca="1">+CELL("nomfichier",#REF!)</f>
        <v>#REF!</v>
      </c>
    </row>
    <row r="4" spans="1:10" x14ac:dyDescent="0.25">
      <c r="A4" s="4" t="s">
        <v>55</v>
      </c>
      <c r="E4" s="4" t="s">
        <v>60</v>
      </c>
      <c r="J4" t="str" cm="1">
        <f t="array" aca="1" ref="J4" ca="1">+CELL("nomfichier",A1)</f>
        <v>\\192.168.1.70\Service Facturiers\raprochement sfa log QTE et PRIX\[Rapprochement sfa.log qte et prix.xlsm]historique des mouvmenet</v>
      </c>
    </row>
    <row r="5" spans="1:10" x14ac:dyDescent="0.25">
      <c r="E5" s="4">
        <v>46325.375283171299</v>
      </c>
      <c r="J5" t="str" cm="1">
        <f t="array" aca="1" ref="J5" ca="1">+MID(CELL("nomfichier"),1,SEARCH("[",CELL("nomfichier"))-2)</f>
        <v>\\192.168.1.70\Service Facturiers\raprochement sfa log QTE et PRIX</v>
      </c>
    </row>
    <row r="6" spans="1:10" x14ac:dyDescent="0.25">
      <c r="A6" s="4" t="s">
        <v>49</v>
      </c>
      <c r="B6" s="4" t="s">
        <v>50</v>
      </c>
      <c r="C6" s="4" t="s">
        <v>51</v>
      </c>
      <c r="D6" s="4" t="s">
        <v>52</v>
      </c>
      <c r="E6" s="4" t="s">
        <v>57</v>
      </c>
    </row>
    <row r="7" spans="1:10" x14ac:dyDescent="0.25">
      <c r="A7" s="4" t="s">
        <v>4242</v>
      </c>
      <c r="B7" s="4">
        <v>6063.9</v>
      </c>
      <c r="C7" s="4">
        <v>6063.8</v>
      </c>
      <c r="D7" s="4">
        <v>9.9999999999454303E-2</v>
      </c>
    </row>
    <row r="8" spans="1:10" x14ac:dyDescent="0.25">
      <c r="A8" s="4" t="s">
        <v>3</v>
      </c>
      <c r="B8" s="4">
        <v>3709.4</v>
      </c>
      <c r="C8" s="4">
        <v>3709.3</v>
      </c>
      <c r="D8" s="4">
        <v>9.9999999999909051E-2</v>
      </c>
    </row>
    <row r="9" spans="1:10" x14ac:dyDescent="0.25">
      <c r="A9" s="4" t="s">
        <v>92</v>
      </c>
      <c r="B9" s="4">
        <v>2281.6</v>
      </c>
      <c r="C9" s="4">
        <v>2255</v>
      </c>
      <c r="D9" s="4">
        <v>26.599999999999909</v>
      </c>
    </row>
    <row r="10" spans="1:10" x14ac:dyDescent="0.25">
      <c r="A10" s="4" t="s">
        <v>61</v>
      </c>
      <c r="B10" s="4">
        <v>164.6</v>
      </c>
      <c r="C10" s="4">
        <v>164.7</v>
      </c>
      <c r="D10" s="4">
        <v>-9.9999999999994316E-2</v>
      </c>
    </row>
    <row r="11" spans="1:10" x14ac:dyDescent="0.25">
      <c r="A11" s="4" t="s">
        <v>4577</v>
      </c>
      <c r="B11" s="4">
        <v>0</v>
      </c>
      <c r="C11" s="4">
        <v>15</v>
      </c>
      <c r="D11" s="4">
        <v>-15</v>
      </c>
    </row>
    <row r="12" spans="1:10" x14ac:dyDescent="0.25">
      <c r="A12" s="4" t="s">
        <v>4578</v>
      </c>
      <c r="B12" s="4">
        <v>0</v>
      </c>
      <c r="C12" s="4">
        <v>10</v>
      </c>
      <c r="D12" s="4">
        <v>-10</v>
      </c>
    </row>
    <row r="13" spans="1:10" x14ac:dyDescent="0.25">
      <c r="A13" s="4" t="s">
        <v>4576</v>
      </c>
      <c r="B13" s="4">
        <v>0</v>
      </c>
      <c r="C13" s="4">
        <v>21</v>
      </c>
      <c r="D13" s="4">
        <v>-21</v>
      </c>
    </row>
    <row r="14" spans="1:10" x14ac:dyDescent="0.25">
      <c r="A14" s="4" t="s">
        <v>4579</v>
      </c>
      <c r="B14" s="4">
        <v>0</v>
      </c>
      <c r="C14" s="4">
        <v>52</v>
      </c>
      <c r="D14" s="4">
        <v>-52</v>
      </c>
    </row>
    <row r="15" spans="1:10" x14ac:dyDescent="0.25">
      <c r="A15" s="4" t="s">
        <v>4580</v>
      </c>
      <c r="B15" s="4">
        <v>0</v>
      </c>
      <c r="C15" s="4">
        <v>76</v>
      </c>
      <c r="D15" s="4">
        <v>-76</v>
      </c>
    </row>
    <row r="16" spans="1:10" x14ac:dyDescent="0.25">
      <c r="A16" s="4" t="s">
        <v>6</v>
      </c>
      <c r="B16" s="4">
        <v>773</v>
      </c>
      <c r="C16" s="4">
        <v>555</v>
      </c>
      <c r="D16" s="4">
        <v>218</v>
      </c>
    </row>
    <row r="17" spans="1:5" x14ac:dyDescent="0.25">
      <c r="A17" s="4" t="s">
        <v>14</v>
      </c>
      <c r="B17" s="4">
        <v>26</v>
      </c>
      <c r="C17" s="4">
        <v>244</v>
      </c>
      <c r="D17" s="4">
        <v>-218</v>
      </c>
    </row>
    <row r="18" spans="1:5" x14ac:dyDescent="0.25">
      <c r="A18" s="4" t="s">
        <v>4278</v>
      </c>
      <c r="B18" s="4">
        <v>0</v>
      </c>
      <c r="C18" s="4">
        <v>166</v>
      </c>
      <c r="D18" s="4">
        <v>-166</v>
      </c>
    </row>
    <row r="19" spans="1:5" x14ac:dyDescent="0.25">
      <c r="A19" s="4" t="s">
        <v>3994</v>
      </c>
      <c r="B19" s="4">
        <v>900</v>
      </c>
      <c r="C19" s="4">
        <v>500</v>
      </c>
      <c r="D19" s="4">
        <v>400</v>
      </c>
    </row>
    <row r="20" spans="1:5" x14ac:dyDescent="0.25">
      <c r="A20" s="4" t="s">
        <v>4575</v>
      </c>
      <c r="B20" s="4">
        <v>0</v>
      </c>
      <c r="C20" s="4">
        <v>7</v>
      </c>
      <c r="D20" s="4">
        <v>-7</v>
      </c>
    </row>
    <row r="21" spans="1:5" x14ac:dyDescent="0.25">
      <c r="A21" s="4" t="s">
        <v>4581</v>
      </c>
      <c r="B21" s="4">
        <v>0</v>
      </c>
      <c r="C21" s="4">
        <v>4</v>
      </c>
      <c r="D21" s="4">
        <v>-4</v>
      </c>
    </row>
    <row r="22" spans="1:5" x14ac:dyDescent="0.25">
      <c r="A22" s="4" t="s">
        <v>4588</v>
      </c>
      <c r="B22" s="4">
        <v>0</v>
      </c>
      <c r="C22" s="4">
        <v>43</v>
      </c>
      <c r="D22" s="4">
        <v>-43</v>
      </c>
    </row>
    <row r="23" spans="1:5" x14ac:dyDescent="0.25">
      <c r="A23" s="4" t="s">
        <v>4582</v>
      </c>
      <c r="B23" s="4">
        <v>0</v>
      </c>
      <c r="C23" s="4">
        <v>65</v>
      </c>
      <c r="D23" s="4">
        <v>-65</v>
      </c>
    </row>
    <row r="24" spans="1:5" x14ac:dyDescent="0.25">
      <c r="A24" s="4" t="s">
        <v>4583</v>
      </c>
      <c r="B24" s="4">
        <v>0</v>
      </c>
      <c r="C24" s="4">
        <v>41</v>
      </c>
      <c r="D24" s="4">
        <v>-41</v>
      </c>
    </row>
    <row r="25" spans="1:5" x14ac:dyDescent="0.25">
      <c r="A25" s="4" t="s">
        <v>3566</v>
      </c>
      <c r="B25" s="4">
        <v>150</v>
      </c>
      <c r="C25" s="4">
        <v>0</v>
      </c>
      <c r="D25" s="4">
        <v>150</v>
      </c>
    </row>
    <row r="26" spans="1:5" x14ac:dyDescent="0.25">
      <c r="A26" s="4" t="s">
        <v>20</v>
      </c>
      <c r="B26" s="4">
        <v>0</v>
      </c>
      <c r="C26" s="4">
        <v>509</v>
      </c>
      <c r="D26" s="4">
        <v>-509</v>
      </c>
    </row>
    <row r="27" spans="1:5" x14ac:dyDescent="0.25">
      <c r="A27" s="4" t="s">
        <v>13</v>
      </c>
      <c r="B27" s="4">
        <v>1239</v>
      </c>
      <c r="C27" s="4">
        <v>730</v>
      </c>
      <c r="D27" s="4">
        <v>509</v>
      </c>
    </row>
    <row r="28" spans="1:5" x14ac:dyDescent="0.25">
      <c r="A28" s="4" t="s">
        <v>4174</v>
      </c>
      <c r="B28" s="4">
        <v>14</v>
      </c>
      <c r="C28" s="4">
        <v>13</v>
      </c>
      <c r="D28" s="4">
        <v>1</v>
      </c>
    </row>
    <row r="29" spans="1:5" x14ac:dyDescent="0.25">
      <c r="A29" s="4" t="s">
        <v>4550</v>
      </c>
      <c r="B29" s="4">
        <v>2</v>
      </c>
      <c r="C29" s="4">
        <v>1</v>
      </c>
      <c r="D29" s="4">
        <v>1</v>
      </c>
      <c r="E29" s="4" t="s">
        <v>4569</v>
      </c>
    </row>
    <row r="30" spans="1:5" x14ac:dyDescent="0.25">
      <c r="A30" s="4" t="s">
        <v>4279</v>
      </c>
      <c r="B30" s="4">
        <v>22</v>
      </c>
      <c r="C30" s="4">
        <v>21</v>
      </c>
      <c r="D30" s="4">
        <v>1</v>
      </c>
    </row>
    <row r="31" spans="1:5" x14ac:dyDescent="0.25">
      <c r="A31" s="4" t="s">
        <v>4347</v>
      </c>
      <c r="B31" s="4">
        <v>0</v>
      </c>
      <c r="C31" s="4">
        <v>129</v>
      </c>
      <c r="D31" s="4">
        <v>-129</v>
      </c>
    </row>
    <row r="32" spans="1:5" x14ac:dyDescent="0.25">
      <c r="A32" s="4" t="s">
        <v>4584</v>
      </c>
      <c r="B32" s="4">
        <v>0</v>
      </c>
      <c r="C32" s="4">
        <v>4</v>
      </c>
      <c r="D32" s="4">
        <v>-4</v>
      </c>
    </row>
    <row r="33" spans="1:5" x14ac:dyDescent="0.25">
      <c r="A33" s="4" t="s">
        <v>4585</v>
      </c>
      <c r="B33" s="4">
        <v>0</v>
      </c>
      <c r="C33" s="4">
        <v>30</v>
      </c>
      <c r="D33" s="4">
        <v>-30</v>
      </c>
    </row>
    <row r="34" spans="1:5" x14ac:dyDescent="0.25">
      <c r="A34" s="4" t="s">
        <v>4554</v>
      </c>
      <c r="B34" s="4">
        <v>2</v>
      </c>
      <c r="C34" s="4">
        <v>0</v>
      </c>
      <c r="D34" s="4">
        <v>2</v>
      </c>
      <c r="E34" s="4" t="s">
        <v>4570</v>
      </c>
    </row>
    <row r="35" spans="1:5" x14ac:dyDescent="0.25">
      <c r="A35" s="4" t="s">
        <v>4539</v>
      </c>
      <c r="B35" s="4">
        <v>471</v>
      </c>
      <c r="C35" s="4">
        <v>470</v>
      </c>
      <c r="D35" s="4">
        <v>1</v>
      </c>
      <c r="E35" s="4" t="s">
        <v>4569</v>
      </c>
    </row>
    <row r="36" spans="1:5" x14ac:dyDescent="0.25">
      <c r="A36" s="4" t="s">
        <v>4555</v>
      </c>
      <c r="B36" s="4">
        <v>290</v>
      </c>
      <c r="C36" s="4">
        <v>345</v>
      </c>
      <c r="D36" s="4">
        <v>-55</v>
      </c>
      <c r="E36" s="4" t="s">
        <v>4574</v>
      </c>
    </row>
    <row r="37" spans="1:5" x14ac:dyDescent="0.25">
      <c r="A37" s="4" t="s">
        <v>4448</v>
      </c>
      <c r="B37" s="4">
        <v>4</v>
      </c>
      <c r="C37" s="4">
        <v>2</v>
      </c>
      <c r="D37" s="4">
        <v>2</v>
      </c>
    </row>
    <row r="38" spans="1:5" x14ac:dyDescent="0.25">
      <c r="A38" s="4" t="s">
        <v>4444</v>
      </c>
      <c r="B38" s="4">
        <v>827</v>
      </c>
      <c r="C38" s="4">
        <v>829</v>
      </c>
      <c r="D38" s="4">
        <v>-2</v>
      </c>
      <c r="E38" s="4" t="s">
        <v>4573</v>
      </c>
    </row>
    <row r="39" spans="1:5" x14ac:dyDescent="0.25">
      <c r="A39" s="4" t="s">
        <v>4524</v>
      </c>
      <c r="B39" s="4">
        <v>111</v>
      </c>
      <c r="C39" s="4">
        <v>57</v>
      </c>
      <c r="D39" s="4">
        <v>54</v>
      </c>
      <c r="E39" s="4" t="s">
        <v>4570</v>
      </c>
    </row>
    <row r="40" spans="1:5" x14ac:dyDescent="0.25">
      <c r="A40" s="4" t="s">
        <v>4445</v>
      </c>
      <c r="B40" s="4">
        <v>37</v>
      </c>
      <c r="C40" s="4">
        <v>36</v>
      </c>
      <c r="D40" s="4">
        <v>1</v>
      </c>
      <c r="E40" s="4" t="s">
        <v>4573</v>
      </c>
    </row>
    <row r="41" spans="1:5" x14ac:dyDescent="0.25">
      <c r="A41" s="4" t="s">
        <v>17</v>
      </c>
      <c r="B41" s="4">
        <v>5</v>
      </c>
      <c r="C41" s="4">
        <v>4</v>
      </c>
      <c r="D41" s="4">
        <v>1</v>
      </c>
    </row>
    <row r="42" spans="1:5" x14ac:dyDescent="0.25">
      <c r="A42" s="4" t="s">
        <v>66</v>
      </c>
      <c r="B42" s="4">
        <v>4861</v>
      </c>
      <c r="C42" s="4">
        <v>4853</v>
      </c>
      <c r="D42" s="4">
        <v>8</v>
      </c>
    </row>
    <row r="43" spans="1:5" x14ac:dyDescent="0.25">
      <c r="A43" s="4" t="s">
        <v>4586</v>
      </c>
      <c r="B43" s="4">
        <v>0</v>
      </c>
      <c r="C43" s="4">
        <v>6</v>
      </c>
      <c r="D43" s="4">
        <v>-6</v>
      </c>
    </row>
    <row r="44" spans="1:5" x14ac:dyDescent="0.25">
      <c r="A44" s="4" t="s">
        <v>3565</v>
      </c>
      <c r="B44" s="4">
        <v>7</v>
      </c>
      <c r="C44" s="4">
        <v>0</v>
      </c>
      <c r="D44" s="4">
        <v>7</v>
      </c>
    </row>
    <row r="45" spans="1:5" x14ac:dyDescent="0.25">
      <c r="A45" s="4" t="s">
        <v>3578</v>
      </c>
      <c r="B45" s="4">
        <v>37</v>
      </c>
      <c r="C45" s="4">
        <v>36</v>
      </c>
      <c r="D45" s="4">
        <v>1</v>
      </c>
    </row>
    <row r="46" spans="1:5" x14ac:dyDescent="0.25">
      <c r="A46" s="4" t="s">
        <v>3547</v>
      </c>
      <c r="B46" s="4">
        <v>1</v>
      </c>
      <c r="C46" s="4">
        <v>0</v>
      </c>
      <c r="D46" s="4">
        <v>1</v>
      </c>
    </row>
    <row r="47" spans="1:5" x14ac:dyDescent="0.25">
      <c r="A47" s="4" t="s">
        <v>5</v>
      </c>
      <c r="B47" s="4">
        <v>3653</v>
      </c>
      <c r="C47" s="4">
        <v>3654</v>
      </c>
      <c r="D47" s="4">
        <v>-1</v>
      </c>
    </row>
    <row r="48" spans="1:5" x14ac:dyDescent="0.25">
      <c r="A48" s="4" t="s">
        <v>4587</v>
      </c>
      <c r="B48" s="4">
        <v>0</v>
      </c>
      <c r="C48" s="4">
        <v>22</v>
      </c>
      <c r="D48" s="4">
        <v>-22</v>
      </c>
    </row>
    <row r="49" spans="1:4" x14ac:dyDescent="0.25">
      <c r="A49" s="4" t="s">
        <v>68</v>
      </c>
      <c r="B49" s="4">
        <v>811</v>
      </c>
      <c r="C49" s="4">
        <v>807</v>
      </c>
      <c r="D49" s="4">
        <v>4</v>
      </c>
    </row>
  </sheetData>
  <sheetProtection algorithmName="SHA-512" hashValue="dt9MMB6g4iGFp4uLQ4LVZLDAjw+r/4dvzyg9HcC/KI8m9nYAoAvsnyN9R990stimOhEmEilcTKovcHbKR0mMng==" saltValue="S5n7LR6mSWUR969WWkdPEQ==" spinCount="100000"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D7F033-5487-4EA1-855C-CFE90EC8D2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les prix manquants+arts exclus</vt:lpstr>
      <vt:lpstr>log qte et prix</vt:lpstr>
      <vt:lpstr>Rapprochement</vt:lpstr>
      <vt:lpstr>Feuil1</vt:lpstr>
      <vt:lpstr>historique des mouvmenet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 SAV 2</dc:creator>
  <cp:lastModifiedBy>NI SAV 2</cp:lastModifiedBy>
  <cp:lastPrinted>2026-10-19T13:38:03Z</cp:lastPrinted>
  <dcterms:created xsi:type="dcterms:W3CDTF">2015-06-05T18:19:34Z</dcterms:created>
  <dcterms:modified xsi:type="dcterms:W3CDTF">2026-10-30T08:09:16Z</dcterms:modified>
</cp:coreProperties>
</file>